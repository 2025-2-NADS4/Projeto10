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24226"/>
  <mc:AlternateContent xmlns:mc="http://schemas.openxmlformats.org/markup-compatibility/2006">
    <mc:Choice Requires="x15">
      <x15ac:absPath xmlns:x15ac="http://schemas.microsoft.com/office/spreadsheetml/2010/11/ac" url="C:\Users\24026578\Downloads\"/>
    </mc:Choice>
  </mc:AlternateContent>
  <xr:revisionPtr revIDLastSave="0" documentId="8_{F27FE09C-D89F-4EF7-B7FA-3EF86E2AE5AD}" xr6:coauthVersionLast="36" xr6:coauthVersionMax="36" xr10:uidLastSave="{00000000-0000-0000-0000-000000000000}"/>
  <bookViews>
    <workbookView xWindow="0" yWindow="0" windowWidth="19920" windowHeight="9525" tabRatio="854" firstSheet="4" activeTab="10" xr2:uid="{00000000-000D-0000-FFFF-FFFF00000000}"/>
  </bookViews>
  <sheets>
    <sheet name="Project Charter" sheetId="16" r:id="rId1"/>
    <sheet name="WBS_Detalhado (ordem etapas)" sheetId="1" r:id="rId2"/>
    <sheet name="WBS-MACRO-ATIVIDADE" sheetId="14" r:id="rId3"/>
    <sheet name="WBS_Detalhado (ordem depend)" sheetId="13" r:id="rId4"/>
    <sheet name="DIAGRAMA DE SETA" sheetId="19" r:id="rId5"/>
    <sheet name="analise_stake" sheetId="21" r:id="rId6"/>
    <sheet name="plano_de_comunicação" sheetId="22" r:id="rId7"/>
    <sheet name="planejamento_rh" sheetId="23" r:id="rId8"/>
    <sheet name="fluxo_projeto" sheetId="24" r:id="rId9"/>
    <sheet name="mapa_competencias" sheetId="25" r:id="rId10"/>
    <sheet name="matriz_responsabilidade" sheetId="26" r:id="rId11"/>
    <sheet name="Gráfico de Gantt" sheetId="18" state="hidden" r:id="rId12"/>
    <sheet name="PV_dependência" sheetId="17" state="hidden" r:id="rId13"/>
    <sheet name="Cronograma_de_Custos (2)" sheetId="6" state="hidden" r:id="rId14"/>
  </sheets>
  <externalReferences>
    <externalReference r:id="rId15"/>
    <externalReference r:id="rId16"/>
    <externalReference r:id="rId17"/>
  </externalReferences>
  <definedNames>
    <definedName name="A" hidden="1">{"'TG'!$A$1:$L$37"}</definedName>
    <definedName name="_xlnm.Print_Area" localSheetId="13">'Cronograma_de_Custos (2)'!$B$2:$X$18</definedName>
    <definedName name="Comprar">[1]Param!#REF!</definedName>
    <definedName name="E"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início_da_tarefa" localSheetId="11">[2]CronogramaDeProjeto!$E1</definedName>
    <definedName name="Início_do_projeto">'Gráfico de Gantt'!$G$5</definedName>
    <definedName name="Periodicidade">[3]Param!$AB$5:$AB$9</definedName>
    <definedName name="progresso_da_tarefa" localSheetId="11">[2]CronogramaDeProjeto!$D1</definedName>
    <definedName name="Semana_de_exibição">'Gráfico de Gantt'!$G$6</definedName>
    <definedName name="Status">[1]Param!#REF!</definedName>
    <definedName name="t" hidden="1">{"'TG'!$A$1:$L$37"}</definedName>
    <definedName name="término_da_tarefa" localSheetId="11">[2]CronogramaDeProjeto!$F1</definedName>
    <definedName name="VersaoExcel">[3]Param!$D$15:$E$15</definedName>
    <definedName name="VersaoSR">[3]Param!$C$24:$C$26</definedName>
  </definedNames>
  <calcPr calcId="191029"/>
  <pivotCaches>
    <pivotCache cacheId="4" r:id="rId18"/>
  </pivotCaches>
</workbook>
</file>

<file path=xl/calcChain.xml><?xml version="1.0" encoding="utf-8"?>
<calcChain xmlns="http://schemas.openxmlformats.org/spreadsheetml/2006/main">
  <c r="K29" i="1" l="1"/>
  <c r="K22" i="1"/>
  <c r="K14" i="1"/>
  <c r="K65" i="1"/>
  <c r="K61" i="1"/>
  <c r="K57" i="1"/>
  <c r="K53" i="1"/>
  <c r="K49" i="1"/>
  <c r="K45" i="1"/>
  <c r="K37" i="1"/>
  <c r="K66" i="1" l="1"/>
  <c r="J35" i="18"/>
  <c r="J34" i="18"/>
  <c r="J33" i="18"/>
  <c r="J32" i="18"/>
  <c r="J31" i="18"/>
  <c r="J30" i="18"/>
  <c r="J29" i="18"/>
  <c r="J28" i="18"/>
  <c r="J22" i="18"/>
  <c r="J16" i="18"/>
  <c r="J10" i="18"/>
  <c r="J9" i="18"/>
  <c r="G11" i="18"/>
  <c r="H11" i="18" s="1"/>
  <c r="H18" i="6"/>
  <c r="L18" i="6"/>
  <c r="P18" i="6"/>
  <c r="T18" i="6"/>
  <c r="X18" i="6"/>
  <c r="K7" i="18"/>
  <c r="K8" i="18" s="1"/>
  <c r="J11" i="18"/>
  <c r="J23" i="18"/>
  <c r="J12" i="18"/>
  <c r="J24" i="18"/>
  <c r="J15" i="18"/>
  <c r="J13" i="18"/>
  <c r="J25" i="18"/>
  <c r="J17" i="18"/>
  <c r="J14" i="18"/>
  <c r="J18" i="18"/>
  <c r="J27" i="18"/>
  <c r="J26" i="18"/>
  <c r="J19" i="18"/>
  <c r="J20" i="18"/>
  <c r="J21" i="18"/>
  <c r="K6" i="18" l="1"/>
  <c r="L7" i="18"/>
  <c r="M7" i="18" l="1"/>
  <c r="L8" i="18"/>
  <c r="M8" i="18" l="1"/>
  <c r="N7" i="18"/>
  <c r="N8" i="18" l="1"/>
  <c r="O7" i="18"/>
  <c r="O8" i="18" l="1"/>
  <c r="P7" i="18"/>
  <c r="Q7" i="18" l="1"/>
  <c r="P8" i="18"/>
  <c r="Q8" i="18" l="1"/>
  <c r="R7" i="18"/>
  <c r="R6" i="18" l="1"/>
  <c r="S7" i="18"/>
  <c r="R8" i="18"/>
  <c r="S8" i="18" l="1"/>
  <c r="T7" i="18"/>
  <c r="U7" i="18" l="1"/>
  <c r="T8" i="18"/>
  <c r="U8" i="18" l="1"/>
  <c r="V7" i="18"/>
  <c r="W7" i="18" l="1"/>
  <c r="V8" i="18"/>
  <c r="W8" i="18" l="1"/>
  <c r="X7" i="18"/>
  <c r="X8" i="18" l="1"/>
  <c r="Y7" i="18"/>
  <c r="Z7" i="18" l="1"/>
  <c r="Y8" i="18"/>
  <c r="Y6" i="18"/>
  <c r="Z8" i="18" l="1"/>
  <c r="AA7" i="18"/>
  <c r="AB7" i="18" l="1"/>
  <c r="AA8" i="18"/>
  <c r="AC7" i="18" l="1"/>
  <c r="AB8" i="18"/>
  <c r="AC8" i="18" l="1"/>
  <c r="AD7" i="18"/>
  <c r="AE7" i="18" l="1"/>
  <c r="AD8" i="18"/>
  <c r="AE8" i="18" l="1"/>
  <c r="AF7" i="18"/>
  <c r="AF6" i="18" l="1"/>
  <c r="AG7" i="18"/>
  <c r="AF8" i="18"/>
  <c r="AH7" i="18" l="1"/>
  <c r="AG8" i="18"/>
  <c r="AI7" i="18" l="1"/>
  <c r="AH8" i="18"/>
  <c r="AI8" i="18" l="1"/>
  <c r="AJ7" i="18"/>
  <c r="AK7" i="18" l="1"/>
  <c r="AJ8" i="18"/>
  <c r="AK8" i="18" l="1"/>
  <c r="AL7" i="18"/>
  <c r="AL8" i="18" l="1"/>
  <c r="AM7" i="18"/>
  <c r="AM6" i="18" l="1"/>
  <c r="AM8" i="18"/>
  <c r="AN7" i="18"/>
  <c r="AN8" i="18" l="1"/>
  <c r="AO7" i="18"/>
  <c r="AP7" i="18" l="1"/>
  <c r="AO8" i="18"/>
  <c r="AP8" i="18" l="1"/>
  <c r="AQ7" i="18"/>
  <c r="AR7" i="18" l="1"/>
  <c r="AQ8" i="18"/>
  <c r="AR8" i="18" l="1"/>
  <c r="AS7" i="18"/>
  <c r="AT7" i="18" l="1"/>
  <c r="AS8" i="18"/>
  <c r="AT6" i="18" l="1"/>
  <c r="AT8" i="18"/>
  <c r="AU7" i="18"/>
  <c r="AU8" i="18" l="1"/>
  <c r="AV7" i="18"/>
  <c r="AV8" i="18" l="1"/>
  <c r="AW7" i="18"/>
  <c r="AW8" i="18" l="1"/>
  <c r="AX7" i="18"/>
  <c r="AX8" i="18" l="1"/>
  <c r="AY7" i="18"/>
  <c r="AZ7" i="18" l="1"/>
  <c r="AY8" i="18"/>
  <c r="BA7" i="18" l="1"/>
  <c r="AZ8" i="18"/>
  <c r="BA6" i="18" l="1"/>
  <c r="BA8" i="18"/>
  <c r="BB7" i="18"/>
  <c r="BB8" i="18" l="1"/>
  <c r="BC7" i="18"/>
  <c r="BC8" i="18" l="1"/>
  <c r="BD7" i="18"/>
  <c r="BE7" i="18" l="1"/>
  <c r="BD8" i="18"/>
  <c r="BE8" i="18" l="1"/>
  <c r="BF7" i="18"/>
  <c r="BG7" i="18" l="1"/>
  <c r="BF8" i="18"/>
  <c r="BH7" i="18" l="1"/>
  <c r="BG8" i="18"/>
  <c r="BH6" i="18" l="1"/>
  <c r="BH8" i="18"/>
  <c r="BI7" i="18"/>
  <c r="BI8" i="18" l="1"/>
  <c r="BJ7" i="18"/>
  <c r="BJ8" i="18" l="1"/>
  <c r="BK7" i="18"/>
  <c r="BK8" i="18" l="1"/>
  <c r="BL7" i="18"/>
  <c r="BM7" i="18" l="1"/>
  <c r="BL8" i="18"/>
  <c r="BN7" i="18" l="1"/>
  <c r="BN8" i="18" s="1"/>
  <c r="BM8" i="18"/>
</calcChain>
</file>

<file path=xl/sharedStrings.xml><?xml version="1.0" encoding="utf-8"?>
<sst xmlns="http://schemas.openxmlformats.org/spreadsheetml/2006/main" count="1437" uniqueCount="641">
  <si>
    <t>Ref</t>
  </si>
  <si>
    <t>Etapas – Atividades - Marcos</t>
  </si>
  <si>
    <t>Dependência</t>
  </si>
  <si>
    <t>Conclusão</t>
  </si>
  <si>
    <t>Responsável</t>
  </si>
  <si>
    <t xml:space="preserve">Recursos                                    </t>
  </si>
  <si>
    <t>Obs</t>
  </si>
  <si>
    <t>2.1</t>
  </si>
  <si>
    <t>2.2</t>
  </si>
  <si>
    <t>2.3</t>
  </si>
  <si>
    <t>4.1</t>
  </si>
  <si>
    <t>1.1</t>
  </si>
  <si>
    <t>Plano do Projeto</t>
  </si>
  <si>
    <t>-</t>
  </si>
  <si>
    <t>1.2</t>
  </si>
  <si>
    <t>1.3</t>
  </si>
  <si>
    <t>3.1</t>
  </si>
  <si>
    <t>3.2</t>
  </si>
  <si>
    <t>5.1</t>
  </si>
  <si>
    <t>5.2</t>
  </si>
  <si>
    <t>5.3</t>
  </si>
  <si>
    <t>Controle</t>
  </si>
  <si>
    <t>Fechamento</t>
  </si>
  <si>
    <t>Contratar empresa para informatização da academia</t>
  </si>
  <si>
    <t>Adquirir Sistemas de Segurança</t>
  </si>
  <si>
    <t>Fechar Convênio com Estacionamento próximo ao local</t>
  </si>
  <si>
    <t>Adequar o Espaço Físico</t>
  </si>
  <si>
    <t>Contratar Mão de Obra</t>
  </si>
  <si>
    <t>Duração em semanas</t>
  </si>
  <si>
    <t>5.4</t>
  </si>
  <si>
    <t>Contratação de Designer de Interiores</t>
  </si>
  <si>
    <t>Custos</t>
  </si>
  <si>
    <t>Equipamentos de Ginástica</t>
  </si>
  <si>
    <t>Equipamentos de Apoio e Administração</t>
  </si>
  <si>
    <t>4.2</t>
  </si>
  <si>
    <t>TOTAL</t>
  </si>
  <si>
    <t>5.2. CRONOGRAMA DE CUSTOS</t>
  </si>
  <si>
    <t>Agosto</t>
  </si>
  <si>
    <t>Setembro</t>
  </si>
  <si>
    <t>Outubro</t>
  </si>
  <si>
    <t>Novembro</t>
  </si>
  <si>
    <t>Dezembro</t>
  </si>
  <si>
    <t>Janeiro</t>
  </si>
  <si>
    <t>2.2.1</t>
  </si>
  <si>
    <t>2.2.2</t>
  </si>
  <si>
    <t xml:space="preserve"> </t>
  </si>
  <si>
    <t>4.2.1</t>
  </si>
  <si>
    <t>1ª</t>
  </si>
  <si>
    <t>Pessoas</t>
  </si>
  <si>
    <t>4.1 Plano de ação detalhado da WBS (com dependência, tempo e recurso)</t>
  </si>
  <si>
    <t>4.2 Plano de ação detalhado da WBS (com dependência, tempo e recurso)</t>
  </si>
  <si>
    <t xml:space="preserve">Etapas – Atividades - </t>
  </si>
  <si>
    <t>Formar uma equipe de desenvolvimento e design</t>
  </si>
  <si>
    <t>Definir os objetivos do aplicativo e sua proposta de valor</t>
  </si>
  <si>
    <t>Identificar as principais funcionalidades e recursos a serem incluídos</t>
  </si>
  <si>
    <t>Iniciação</t>
  </si>
  <si>
    <t>GERENTE DE PROJETO</t>
  </si>
  <si>
    <t>Planejamento</t>
  </si>
  <si>
    <t>Realizar uma análise de mercado para entender concorrentes e demandas</t>
  </si>
  <si>
    <t>Dicas de saúde e bem-estar</t>
  </si>
  <si>
    <t>Planos de exercícios físicos personalizados</t>
  </si>
  <si>
    <t>Mapas com locais de academias e parques</t>
  </si>
  <si>
    <t>Integração com sistemas de monitoramento de saúde</t>
  </si>
  <si>
    <t>Criar um cronograma detalhado com marcos e prazos</t>
  </si>
  <si>
    <t>Design e Prototipagem</t>
  </si>
  <si>
    <t>2.2.3</t>
  </si>
  <si>
    <t>2.2.4</t>
  </si>
  <si>
    <t>DESIGN</t>
  </si>
  <si>
    <t>Interface limpa e intuitiva</t>
  </si>
  <si>
    <t>Navegação simples entre as funcionalidades</t>
  </si>
  <si>
    <t>Criar protótipos interativos para validar o fluxo de usuário</t>
  </si>
  <si>
    <t>3.1.2</t>
  </si>
  <si>
    <t>Desenvolvimento</t>
  </si>
  <si>
    <t>Desenvolver a estrutura do aplicativo</t>
  </si>
  <si>
    <t>DESENVOLVIMENTO</t>
  </si>
  <si>
    <t>Front-end: Interface do usuário e interações</t>
  </si>
  <si>
    <t>4.1.2</t>
  </si>
  <si>
    <t>Implementar as funcionalidades principais</t>
  </si>
  <si>
    <t>4.2.2</t>
  </si>
  <si>
    <t>4.2.3</t>
  </si>
  <si>
    <t>Módulo de dicas de saúde</t>
  </si>
  <si>
    <t>Gerador de planos de exercícios</t>
  </si>
  <si>
    <t>Integração com APIs de mapas para localização de academias e parques</t>
  </si>
  <si>
    <t>Integrar o aplicativo com sistemas de monitoramento de saúde, como dispositivos wearable ou aplicativos de rastreamento</t>
  </si>
  <si>
    <t>Garantir a segurança e privacidade dos dados do usuário</t>
  </si>
  <si>
    <t>Testar a integração para assegurar que os dados são sincronizados corretamente</t>
  </si>
  <si>
    <t>Testes</t>
  </si>
  <si>
    <t>Realizar testes de qualidade e desempenho em diversas plataformas (iOS, Android)</t>
  </si>
  <si>
    <t>Testar a usabilidade do aplicativo com usuários reais</t>
  </si>
  <si>
    <t>Identificar e corrigir bugs e problemas de interface</t>
  </si>
  <si>
    <t>6.1</t>
  </si>
  <si>
    <t>6.1.2</t>
  </si>
  <si>
    <t>6.1.3</t>
  </si>
  <si>
    <t>Lançamento</t>
  </si>
  <si>
    <t>Preparar a infraestrutura para o lançamento nas lojas de aplicativos (App Store, Google Play)</t>
  </si>
  <si>
    <t>Criar materiais de marketing, como vídeos promocionais e descrições claras</t>
  </si>
  <si>
    <t>Submeter o aplicativo para revisão nas lojas de aplicativos</t>
  </si>
  <si>
    <t>7.1.1</t>
  </si>
  <si>
    <t>7.1.2</t>
  </si>
  <si>
    <t>.</t>
  </si>
  <si>
    <t>7.1.3</t>
  </si>
  <si>
    <t>Pós-lançamento</t>
  </si>
  <si>
    <t>Monitorar o feedback dos usuários e analisar métricas de uso</t>
  </si>
  <si>
    <t>Realizar atualizações periódicas para adicionar novas funcionalidades e melhorias</t>
  </si>
  <si>
    <t>Oferecer suporte ao cliente para solucionar problemas e responder dúvidas</t>
  </si>
  <si>
    <t>8.1.1</t>
  </si>
  <si>
    <t>8.1.2</t>
  </si>
  <si>
    <t>8.1.3</t>
  </si>
  <si>
    <t>Marketing e Divulgação</t>
  </si>
  <si>
    <t>Criar estratégias de marketing digital para aumentar a visibilidade do aplicativo</t>
  </si>
  <si>
    <t>Colaborar com influenciadores de saúde e bem-estar para promoção</t>
  </si>
  <si>
    <t>Realizar campanhas de mídia social e anúncios online</t>
  </si>
  <si>
    <t>9.1.1</t>
  </si>
  <si>
    <t>9.1.2</t>
  </si>
  <si>
    <t>9.1.3</t>
  </si>
  <si>
    <t>Avaliação e Aperfeiçoamento</t>
  </si>
  <si>
    <t>Realizar análises regulares sobre o desempenho do aplicativo</t>
  </si>
  <si>
    <t>Explorar parcerias com empresas relacionadas à saúde e bem-estar</t>
  </si>
  <si>
    <t>10.1.1</t>
  </si>
  <si>
    <t>10.1.2</t>
  </si>
  <si>
    <t>10.1.3</t>
  </si>
  <si>
    <t>Avaliar a possibilidade de oferecer versões premium ou modelos de assinatura</t>
  </si>
  <si>
    <t>SEGURANÇA</t>
  </si>
  <si>
    <t>QUALIDADE</t>
  </si>
  <si>
    <t>UX</t>
  </si>
  <si>
    <t>REDES</t>
  </si>
  <si>
    <t>COMERCIAL</t>
  </si>
  <si>
    <t>DESEMPENHO</t>
  </si>
  <si>
    <t>EQUIPE TÉCNICA</t>
  </si>
  <si>
    <t>Definir os requisitos detalhados do aplicativo (escopo)</t>
  </si>
  <si>
    <t>3.1.1</t>
  </si>
  <si>
    <t>3.2.1</t>
  </si>
  <si>
    <t>Realizar o design da interface do usuário (UI)</t>
  </si>
  <si>
    <t xml:space="preserve"> Experiência do usuário (UX)</t>
  </si>
  <si>
    <t>Total</t>
  </si>
  <si>
    <t>(vazio)</t>
  </si>
  <si>
    <t>Total Geral</t>
  </si>
  <si>
    <t>Soma de Custos</t>
  </si>
  <si>
    <t>Teste de UI / UX</t>
  </si>
  <si>
    <t>3.2.2</t>
  </si>
  <si>
    <t>Insira o nome do Líder do projeto na célula B3. Insira a data de Início do projeto na célula E3. Início do projeto: o rótulo está na célula C3.</t>
  </si>
  <si>
    <t>Início do projeto:</t>
  </si>
  <si>
    <t>A semana de exibição na célula E4 representa a semana inicial a ser exibida no cronograma do projeto na célula I4. A data de início do projeto é considerada Semana 1. Para alterar a semana de exibição, basta inserir um novo número da semana na célula E4.
A data inicial para cada semana, começando com a semana de exibição na célula E4, começa na célula I4 e é calculada automaticamente. Há 8 semanas representadas nesse modo de exibição que vão da célula I4 a célula BF4.
Você não deve modificar essas células.
Semana de exibição: o rótulo está na célula C4.</t>
  </si>
  <si>
    <t>Semana de exibição:</t>
  </si>
  <si>
    <t>As células I5 a BL5 contêm o número de dias da semana representado no bloco de células acima de cada célula de data e são calculadas automaticamente.
Você não deve modificar essas células.
A data de hoje é contornada em vermelho (hex #AD3815) a partir da data de hoje na linha 5, passando pela coluna de data inteira até o final do cronograma do projeto.</t>
  </si>
  <si>
    <t>Esta linha inclui cabeçalhos do cronograma do projeto que estão abaixo deles. 
Navegue de B6 a BL6 para ouvir o conteúdo. A primeira letra de cada dia da semana da data acima daquele cabeçalho começa na célula I6 e continua até a célula BL6.
Todo o gráfico de linha do tempo de projeto é gerado automaticamente com base nas datas de início e término inseridas, usando os formatos condicionais.
Não modifique o conteúdo nas células dentro das colunas após a coluna I, começando na célula I7.</t>
  </si>
  <si>
    <t>TAREFA</t>
  </si>
  <si>
    <t>ATRIBUÍDO
PARA</t>
  </si>
  <si>
    <t>PROGRESSO</t>
  </si>
  <si>
    <t>INÍCIO</t>
  </si>
  <si>
    <t>TÉRMINO</t>
  </si>
  <si>
    <t>DIAS</t>
  </si>
  <si>
    <t xml:space="preserve">Não exclua esta linha. Esta linha ficará oculta para preservar uma fórmula usada para realçar o dia atual no cronograma do projeto. </t>
  </si>
  <si>
    <t>A célula B8 contém o título do exemplo da Fase 1. 
Insira um novo Título na célula B8.
Na célula C8, insira o nome a atribuir à fase, caso ela se aplique ao seu projeto.
Na célula D8, insira o Progresso para a fase inteira, caso ela se aplique ao seu projeto.
Nas células E8 e F8, insira as datas de início e término para a fase inteira, caso ela se aplique ao seu projeto. 
O gráfico de Gantt preenche automaticamente as datas apropriadas e sombreia de acordo com o andamento inserido.
Para excluir a fase e trabalhar apenas nas tarefas, basta excluir essa linha.</t>
  </si>
  <si>
    <t xml:space="preserve">A célula B9 contém a tarefa de exemplo "Tarefa 1". 
Insira um novo nome da tarefa na célula B9.
Insira uma pessoa para atribuir a tarefa na célula C9.
Insira o andamento da tarefa na célula D9. Uma barra de progresso é exibida na célula e fica sombreada de acordo com o número na célula. Por exemplo, 50% de progresso sombreia metade da célula.
Insira a data de início da tarefa na célula E9.
Insira a data de término da tarefa na célula F9.
Uma barra de status sombreada das datas inseridas aparece em blocos começando na célula I9 até BL9. </t>
  </si>
  <si>
    <t>Tarefa 1</t>
  </si>
  <si>
    <t>As linhas 10 a 13 repetem o padrão da linha 9. 
Repita as instruções da célula A9 para todas as linhas de tarefas nesta planilha. Substitua os dados de exemplo.
Um exemplo de outra fase começa na célula A14. 
Continue inserindo tarefas nas células A10 a A13 ou vá para a célula A14 para saber mais.</t>
  </si>
  <si>
    <t>Tarefa 2</t>
  </si>
  <si>
    <t>Tarefa 3</t>
  </si>
  <si>
    <t>Tarefa 4</t>
  </si>
  <si>
    <t>Tarefa 5</t>
  </si>
  <si>
    <t>A célula à direita contém o título do exemplo da Fase 2. 
Você pode criar uma nova fase a qualquer momento na coluna B. Este cronograma de projeto não exige fases. Para remover a fase, basta excluir a linha.
Para criar um novo bloco de fases nesta linha, digite um novo Título na célula à direita.
Para continuar a adicionar tarefas à fase acima, insira uma nova linha acima desta e preencha os dados da tarefa como na instrução da célula A9.
Atualize os detalhes da Fase na célula à direita, com base nas instruções da célula A8.
Continue navegando para baixo nas células da coluna A para saber mais.
Se você ainda não adicionou as novas linhas nesta planilha, encontrará 2 exemplos adicionais de blocos de fase que foram criados nas células B20 e B26. Caso contrário, navegue pelas células da coluna A para localizar os blocos adicionais. 
Repita as instruções das células A8 e A9 sempre que precisar.</t>
  </si>
  <si>
    <t>Título Fase 2</t>
  </si>
  <si>
    <t>Bloco de título de fase de exemplo</t>
  </si>
  <si>
    <t>Título Fase 3</t>
  </si>
  <si>
    <t>Título Fase 4</t>
  </si>
  <si>
    <t>data</t>
  </si>
  <si>
    <t>Esta é uma linha vazia</t>
  </si>
  <si>
    <t>Esta linha marca o final do Cronograma do projeto. NÃO insira nada nessa linha. 
Insira novas linhas ACIMA desta linha para continuar a construção do cronograma de projeto.</t>
  </si>
  <si>
    <t>Insira novas linhas ACIMA desta</t>
  </si>
  <si>
    <t>Líder do projeto:
Gerente de Projeto</t>
  </si>
  <si>
    <t>2.2.5</t>
  </si>
  <si>
    <t>4.1.3</t>
  </si>
  <si>
    <t>Expansão</t>
  </si>
  <si>
    <t>11.1</t>
  </si>
  <si>
    <t>11.1.2</t>
  </si>
  <si>
    <t>11.1.3</t>
  </si>
  <si>
    <t>2ª</t>
  </si>
  <si>
    <t>Saúde e bem-estar na palma da sua mão</t>
  </si>
  <si>
    <t>NÃO</t>
  </si>
  <si>
    <t>Atividades</t>
  </si>
  <si>
    <t>Pós-lançamento (Stakeholders internos)</t>
  </si>
  <si>
    <t>Lançamento (Stakeholders internos)</t>
  </si>
  <si>
    <t>Rede de Precedência de Atividades</t>
  </si>
  <si>
    <t>Planejamento/Design e Prototipagem</t>
  </si>
  <si>
    <t xml:space="preserve">Marketing e Divulgação - para o Mercado </t>
  </si>
  <si>
    <t>Marketing e Divulgação para o Mercado</t>
  </si>
  <si>
    <t>FAREMOS MAIS PARA FRENTE</t>
  </si>
  <si>
    <t>Data Início</t>
  </si>
  <si>
    <t>Data Fim</t>
  </si>
  <si>
    <t>teste de ui/ux</t>
  </si>
  <si>
    <t>Diagrama de seta</t>
  </si>
  <si>
    <t>Quantos Dias dura o projeto?</t>
  </si>
  <si>
    <t>Dias</t>
  </si>
  <si>
    <t>Desenvolvimento APP</t>
  </si>
  <si>
    <t>Atividade</t>
  </si>
  <si>
    <t>Duração</t>
  </si>
  <si>
    <t>I+A6:A22deação</t>
  </si>
  <si>
    <t>A</t>
  </si>
  <si>
    <t>Requisitos</t>
  </si>
  <si>
    <t>B</t>
  </si>
  <si>
    <t>C</t>
  </si>
  <si>
    <t>F</t>
  </si>
  <si>
    <t>D</t>
  </si>
  <si>
    <t>G</t>
  </si>
  <si>
    <t>Teste</t>
  </si>
  <si>
    <t>E</t>
  </si>
  <si>
    <t>Verificação</t>
  </si>
  <si>
    <t>Validação</t>
  </si>
  <si>
    <t>E,F</t>
  </si>
  <si>
    <t>H</t>
  </si>
  <si>
    <t>gerador de planos de exercicios</t>
  </si>
  <si>
    <t>I</t>
  </si>
  <si>
    <t>garantir a segurança e privacidade dos dados do usuário</t>
  </si>
  <si>
    <t>J</t>
  </si>
  <si>
    <t>testar a usabilidade do aplicativo</t>
  </si>
  <si>
    <t>K</t>
  </si>
  <si>
    <t>realizar testes de qualidade e desempenho em diversas plataformas</t>
  </si>
  <si>
    <t>L</t>
  </si>
  <si>
    <t>adaptação de mercado</t>
  </si>
  <si>
    <t>M</t>
  </si>
  <si>
    <t>análise de expansao de mercado</t>
  </si>
  <si>
    <t>N</t>
  </si>
  <si>
    <t>desenvolvimento de parcerias</t>
  </si>
  <si>
    <t>O</t>
  </si>
  <si>
    <t>desenvolvimento de versões de assinatura - monetização</t>
  </si>
  <si>
    <t>P</t>
  </si>
  <si>
    <t>interface limpa e intuitiva</t>
  </si>
  <si>
    <t>Q</t>
  </si>
  <si>
    <t>realizar uma análise de mercado</t>
  </si>
  <si>
    <t>R</t>
  </si>
  <si>
    <t>definir os objetos do aplicativo e sua proposta de valor</t>
  </si>
  <si>
    <t>S</t>
  </si>
  <si>
    <t>codificação back end</t>
  </si>
  <si>
    <t>T</t>
  </si>
  <si>
    <t>front-end: interface do suário e interações</t>
  </si>
  <si>
    <t>U</t>
  </si>
  <si>
    <t>Análise de Stakeholders</t>
  </si>
  <si>
    <t>Projeto</t>
  </si>
  <si>
    <t>SAÚDE E BEM-ESTAR</t>
  </si>
  <si>
    <t>Projeto N°</t>
  </si>
  <si>
    <t>6.20.23</t>
  </si>
  <si>
    <t>Gerente do Projeto</t>
  </si>
  <si>
    <t>Yasmin Renata</t>
  </si>
  <si>
    <t>Sponsor</t>
  </si>
  <si>
    <t>Hospital Sírio-Libanês</t>
  </si>
  <si>
    <t>,</t>
  </si>
  <si>
    <t>Entregas do Projeto</t>
  </si>
  <si>
    <t>DATI CANNOLI</t>
  </si>
  <si>
    <t>Atulizado Em</t>
  </si>
  <si>
    <t>SAM</t>
  </si>
  <si>
    <t>SRM</t>
  </si>
  <si>
    <t>Stakeholder</t>
  </si>
  <si>
    <t>Objetivos</t>
  </si>
  <si>
    <t>Metas</t>
  </si>
  <si>
    <t xml:space="preserve">Motivações e Interesses </t>
  </si>
  <si>
    <t>Poder e influência</t>
  </si>
  <si>
    <t>Importância e
Impacto</t>
  </si>
  <si>
    <t>Papéis &amp; Responsabilidades</t>
  </si>
  <si>
    <t>Sintonia "fina"</t>
  </si>
  <si>
    <t>Área de Interesse</t>
  </si>
  <si>
    <t>Nível de Detalhe</t>
  </si>
  <si>
    <t>Formato</t>
  </si>
  <si>
    <t>Frequência</t>
  </si>
  <si>
    <t>Mecanismo de Entrega</t>
  </si>
  <si>
    <t>Clientes (Consumidores Finais)</t>
  </si>
  <si>
    <t>Melhorar sua experiência de compra e satisfação do cliente, encontrar informações úteis, manter um estilo de vida saudável.</t>
  </si>
  <si>
    <t>Atingir metas de consumo consciente, aumentar ticket médio e melhorar a experiência de compra.</t>
  </si>
  <si>
    <t>Experiência de compra fluida e benefícios exclusivos.</t>
  </si>
  <si>
    <t>Podem determinar percepções sobre a marca e engajamento.</t>
  </si>
  <si>
    <t>Essenciais para aceitação de campanhas e retenção de clientes.</t>
  </si>
  <si>
    <t>Interagir com campanhas, fornecer feedback e compartilhar experiências.</t>
  </si>
  <si>
    <t>Garantir satisfação e engajamento constante do cliente.</t>
  </si>
  <si>
    <t>Relatórios de desempenho, feedbacks e sugestões de melhoria.</t>
  </si>
  <si>
    <t>Relatórios curtos e práticos com benefícios claros.</t>
  </si>
  <si>
    <t>E-mails informativos e comunicados de novidades.</t>
  </si>
  <si>
    <t>Mensal ou imediato para mudanças críticas.</t>
  </si>
  <si>
    <t>E-mails e notificações de engajamento e novidades.</t>
  </si>
  <si>
    <t>Product Owner</t>
  </si>
  <si>
    <t>Desenvolver um aplicativo bem-sucedido que atenda às necessidades dos clientes.</t>
  </si>
  <si>
    <t>Garantir campanhas bem-sucedidas, com aumento de clientes ativos e satisfação geral.</t>
  </si>
  <si>
    <t>Sucesso das campanhas e inovação nas estratégias de marketing e vendas.</t>
  </si>
  <si>
    <t>Definem prioridades e investimentos em campanhas e estratégias.</t>
  </si>
  <si>
    <t>Fundamentais para o sucesso das ações de marketing e vendas.</t>
  </si>
  <si>
    <t>Definir visão estratégica de campanhas e priorização de recursos.</t>
  </si>
  <si>
    <t>Manter desenvolvimento alinhado às estratégias de vendas.</t>
  </si>
  <si>
    <t>Indicadores de performance e status das campanhas.</t>
  </si>
  <si>
    <t>Relatórios detalhados com métricas relevantes e tendências.</t>
  </si>
  <si>
    <t>Reuniões periódicas e dashboards dinâmicos.</t>
  </si>
  <si>
    <t>Reuniões rápidas durante o ciclo de campanhas.</t>
  </si>
  <si>
    <t>Reuniões remotas e relatórios digitais.</t>
  </si>
  <si>
    <t>Desenvolvedores</t>
  </si>
  <si>
    <t>Criar um plataforma de vendas online funcional e confiável.</t>
  </si>
  <si>
    <t>Implementar novos recursos de análise, manter confiabilidade e desempenho das estratégias.</t>
  </si>
  <si>
    <t>Melhoria contínua das análises de dados e performance comercial.</t>
  </si>
  <si>
    <t>Impactam diretamente na qualidade técnica das análises e automações.</t>
  </si>
  <si>
    <t>Contribuem para a confiabilidade e performance da plataforma.</t>
  </si>
  <si>
    <t>Implementar análises, relatórios e otimizações.</t>
  </si>
  <si>
    <t>Colaborar para ajustes e otimizações contínuas.</t>
  </si>
  <si>
    <t>Prioridades de desenvolvimento, automação e BI.</t>
  </si>
  <si>
    <t>Comunicados objetivos sobre recursos e análises em andamento.</t>
  </si>
  <si>
    <t>Quadro de tarefas e comunicados rápidos via plataforma interna.</t>
  </si>
  <si>
    <t>Alinhamentos semanais para progresso técnico.</t>
  </si>
  <si>
    <t>Ferramentas online de gestão de tarefas e progresso.</t>
  </si>
  <si>
    <t>Equipe Comercial</t>
  </si>
  <si>
    <t>Aumentar a base de usuários e a receita.</t>
  </si>
  <si>
    <t>Expandir parcerias e aumentar receita por meio de upsell e cross-sell.</t>
  </si>
  <si>
    <t>Crescimento do negócio e expansão no mercado.</t>
  </si>
  <si>
    <t>Influenciam decisões de vendas e parcerias comerciais.</t>
  </si>
  <si>
    <t>Direcionam crescimento financeiro e expansão de mercado.</t>
  </si>
  <si>
    <t>Negociar parcerias, fechar contratos e impulsionar vendas.</t>
  </si>
  <si>
    <t>Garantir alinhamento entre vendas e marketing para crescimento sustentável.</t>
  </si>
  <si>
    <t>Estratégias comerciais, métricas de aquisição e parcerias.</t>
  </si>
  <si>
    <t>Resumos acionáveis com foco em oportunidades de crescimento.</t>
  </si>
  <si>
    <t>Reuniões estratégicas e relatórios digitais.</t>
  </si>
  <si>
    <t>Revisões trimestrais com atualizações semanais.</t>
  </si>
  <si>
    <t>E-mails informativos e apresentações virtuais.</t>
  </si>
  <si>
    <t>Equipe de Marketing</t>
  </si>
  <si>
    <t>Promover o aplicativo, a marca  e atrair novos clientes.</t>
  </si>
  <si>
    <t>Ampliar visibilidade da marca, gerar leads qualificados e criar campanhas de alto impacto.</t>
  </si>
  <si>
    <t>Campanhas eficientes que gerem reconhecimento de marca e aumento de receita.</t>
  </si>
  <si>
    <t>Moldam a imagem da marca e sua penetração no mercado.</t>
  </si>
  <si>
    <t>Afetam aquisição de novos clientes e retorno financeiro.</t>
  </si>
  <si>
    <t>Criar, planejar e monitorar campanhas de marketing.</t>
  </si>
  <si>
    <t>Comunicar valor da marca de forma eficaz.</t>
  </si>
  <si>
    <t>Resultados de campanhas, análises de público e insights de mercado.</t>
  </si>
  <si>
    <t>Análises aprofundadas com segmentação de mercado.</t>
  </si>
  <si>
    <t>Apresentações detalhadas com indicadores de desempenho.</t>
  </si>
  <si>
    <t>Análises mensais com relatórios complementares.</t>
  </si>
  <si>
    <t>Relatórios enviados por e-mail e dashboards online.</t>
  </si>
  <si>
    <t>Equipe de Design e UX</t>
  </si>
  <si>
    <t>Melhorar a usabilidade e a experiência do usuário.</t>
  </si>
  <si>
    <t>Criar experiência intuitiva na plataforma, otimizando navegação e reduzindo atrito na compra.</t>
  </si>
  <si>
    <t>Design e navegação que reforcem a experiência de compra.</t>
  </si>
  <si>
    <t>Influenciam a experiência de navegação e conversão de clientes.</t>
  </si>
  <si>
    <t>Melhoram a experiência de compra e usabilidade.</t>
  </si>
  <si>
    <t>Desenvolver interface intuitiva e experiência de compra agradável.</t>
  </si>
  <si>
    <t>Colaborar para implementação de designs intuitivos e eficazes.</t>
  </si>
  <si>
    <t>Testes de usabilidade, avaliações de design e experiência do cliente.</t>
  </si>
  <si>
    <t>Relatórios claros de usabilidade e sugestões de melhorias.</t>
  </si>
  <si>
    <t>Relatórios de design e testes em ferramentas colaborativas.</t>
  </si>
  <si>
    <t>Alinhamentos contínuos durante o desenvolvimento.</t>
  </si>
  <si>
    <t>Plataformas de design colaborativo.</t>
  </si>
  <si>
    <t>Equipe de Suporte ao Cliente</t>
  </si>
  <si>
    <t>Resolver problemas dos usuários e fornecer suporte.</t>
  </si>
  <si>
    <t>Resolver demandas rapidamente, garantindo alta satisfação do cliente.</t>
  </si>
  <si>
    <t>Atendimento rápido, suporte de qualidade e relacionamento próximo.</t>
  </si>
  <si>
    <t>Garantem manutenção da satisfação e fidelização.</t>
  </si>
  <si>
    <t>Mantêm clientes engajados e satisfeitos.</t>
  </si>
  <si>
    <t>Fornecer suporte ágil e efetivo aos clientes.</t>
  </si>
  <si>
    <t>Oferecer suporte que reduza fricções e fortaleça a fidelidade.</t>
  </si>
  <si>
    <t>Problemas recorrentes, soluções aplicadas e novos pedidos.</t>
  </si>
  <si>
    <t>Síntese dos principais problemas e soluções aplicadas.</t>
  </si>
  <si>
    <t>Atualizações mensais de suporte e feedbacks de clientes.</t>
  </si>
  <si>
    <t>Revisões mensais de suporte e atendimento.</t>
  </si>
  <si>
    <t>Suporte via e-mail e reuniões virtuais.</t>
  </si>
  <si>
    <t>Gerência Executiva/Alta Administração</t>
  </si>
  <si>
    <t>Alinhar o plataforma de vendas online com a visão da empresa e garantir o sucesso financeiro e da marca no mercado.</t>
  </si>
  <si>
    <t>Crescimento sustentável da plataforma de vendas online, alinhado a objetivos estratégicos e retorno sobre investimento.</t>
  </si>
  <si>
    <t>Crescimento sustentável e retorno positivo para a empresa.</t>
  </si>
  <si>
    <t>Estabelecem diretrizes estratégicas e uso de recursos.</t>
  </si>
  <si>
    <t>Definem resultados de longo prazo e consolidação no mercado.</t>
  </si>
  <si>
    <t>Estabelecer metas de crescimento e alinhar investimentos.</t>
  </si>
  <si>
    <t>Assegurar que as metas estratégicas sejam cumpridas com eficiência.</t>
  </si>
  <si>
    <t>Relatórios de alto nível, resultados financeiros e indicadores estratégicos.</t>
  </si>
  <si>
    <t>Painéis executivos com métricas-chave e visão estratégica.</t>
  </si>
  <si>
    <t>Relatórios executivos com dados estratégicos.</t>
  </si>
  <si>
    <t>Reuniões estratégicas mensais ou trimestrais conforme necessário.</t>
  </si>
  <si>
    <t>Relatórios executivos enviados digitalmente.</t>
  </si>
  <si>
    <t>G,H</t>
  </si>
  <si>
    <t>J,K</t>
  </si>
  <si>
    <t>M,N</t>
  </si>
  <si>
    <t>O,P</t>
  </si>
  <si>
    <t>P,Q</t>
  </si>
  <si>
    <t>D,E</t>
  </si>
  <si>
    <t>Estabelecer os objetivos do aplicativo e sua proposta de valor</t>
  </si>
  <si>
    <t>Reconhecer as principais funções e recursos a serem adicionados</t>
  </si>
  <si>
    <t>Montar uma equipe de desenvolvimento e design</t>
  </si>
  <si>
    <t>Conduzir uma pesquisa de mercado para compreender concorrentes e necessidades</t>
  </si>
  <si>
    <t>Determinar os requisitos detalhados do aplicativo (escopo)</t>
  </si>
  <si>
    <t>Sugestões de saúde e bem-estar</t>
  </si>
  <si>
    <t>Programas de treinos personalizados</t>
  </si>
  <si>
    <t>Mapas com locais de academias e áreas de prática esportiva</t>
  </si>
  <si>
    <t>Conexão com sistemas de monitoramento de saúde</t>
  </si>
  <si>
    <t>Elaborar um cronograma detalhado com etapas e prazos</t>
  </si>
  <si>
    <t>Desenvolver o layout da interface do usuário (UI)</t>
  </si>
  <si>
    <t>Construir protótipos interativos para validar o fluxo do usuário</t>
  </si>
  <si>
    <t>Garantir navegação simples entre as funções</t>
  </si>
  <si>
    <t>Experiência do usuário (UX)</t>
  </si>
  <si>
    <t>Interface clara e objetiva</t>
  </si>
  <si>
    <t>Criar a estrutura do aplicativo</t>
  </si>
  <si>
    <t>Programação back-end</t>
  </si>
  <si>
    <t>Gerador de planos de treino</t>
  </si>
  <si>
    <t>Conexão com APIs de mapas para localização de academias e parques</t>
  </si>
  <si>
    <t>Integrar o aplicativo a sistemas de acompanhamento de saúde, como dispositivos vestíveis ou apps de rastreamento</t>
  </si>
  <si>
    <t>Assegurar a segurança e confidencialidade dos dados do usuário</t>
  </si>
  <si>
    <t>Validar a integração para garantir que os dados sejam sincronizados corretamente</t>
  </si>
  <si>
    <t>Executar testes de qualidade e desempenho em diferentes plataformas (iOS, Android)</t>
  </si>
  <si>
    <t>Avaliar a usabilidade do aplicativo com usuários reais</t>
  </si>
  <si>
    <t>Detectar e corrigir falhas e problemas de interface</t>
  </si>
  <si>
    <t>Preparar a infraestrutura para disponibilização nas lojas de aplicativos (App Store, Google Play)</t>
  </si>
  <si>
    <t>Produzir materiais de divulgação, como vídeos promocionais e descrições objetivas</t>
  </si>
  <si>
    <t>Submeter o app para análise nas lojas de aplicativos</t>
  </si>
  <si>
    <t>Acompanhar o retorno dos usuários selecionados e avaliar métricas de uso</t>
  </si>
  <si>
    <t>Publicar atualizações periódicas com novas funções e melhorias</t>
  </si>
  <si>
    <t>Disponibilizar suporte ao usuário para resolver problemas e responder dúvidas</t>
  </si>
  <si>
    <t>Definir estratégias de marketing digital para ampliar a visibilidade do aplicativo</t>
  </si>
  <si>
    <t>Estabelecer parcerias com influenciadores de saúde e bem-estar</t>
  </si>
  <si>
    <t>Lançar campanhas em redes sociais e anúncios online</t>
  </si>
  <si>
    <t>Realizar análises constantes sobre a performance do aplicativo</t>
  </si>
  <si>
    <t>Coletar opiniões e aplicar melhorias</t>
  </si>
  <si>
    <t>Ajuste às exigências do mercado</t>
  </si>
  <si>
    <t>Estudo de crescimento de mercado</t>
  </si>
  <si>
    <t>Construção de parcerias</t>
  </si>
  <si>
    <t>Criação de versões por assinatura – Monetização</t>
  </si>
  <si>
    <t>Integrar o aplicativo a sistemas de acompanhamento de saúde (wearables, rastreadores)</t>
  </si>
  <si>
    <t>Validar a integração para garantir sincronização correta</t>
  </si>
  <si>
    <t>Executar testes de qualidade e desempenho (iOS, Android)</t>
  </si>
  <si>
    <t>Preparar infraestrutura para lojas de aplicativos</t>
  </si>
  <si>
    <t>Produzir materiais de divulgação (vídeos, descrições)</t>
  </si>
  <si>
    <t>Submeter o aplicativo para análise nas lojas</t>
  </si>
  <si>
    <t>Acompanhar retorno dos usuários e métricas de uso</t>
  </si>
  <si>
    <t>Publicar atualizações periódicas com novas funções</t>
  </si>
  <si>
    <t>Disponibilizar suporte ao usuário (dúvidas, problemas)</t>
  </si>
  <si>
    <t>Definir estratégias de marketing digital</t>
  </si>
  <si>
    <t>Estabelecer parcerias com influenciadores</t>
  </si>
  <si>
    <t>Lançar campanhas em redes sociais e anúncios</t>
  </si>
  <si>
    <t>Realizar análises constantes sobre a performance</t>
  </si>
  <si>
    <r>
      <t xml:space="preserve">Data: 24/10/2025      Projeto: </t>
    </r>
    <r>
      <rPr>
        <sz val="14"/>
        <rFont val="Arial"/>
        <family val="2"/>
      </rPr>
      <t>DATI</t>
    </r>
  </si>
  <si>
    <r>
      <t>1.</t>
    </r>
    <r>
      <rPr>
        <b/>
        <sz val="7"/>
        <rFont val="Times New Roman"/>
        <family val="1"/>
      </rPr>
      <t xml:space="preserve">    </t>
    </r>
    <r>
      <rPr>
        <b/>
        <sz val="11"/>
        <rFont val="Calibri"/>
        <family val="2"/>
      </rPr>
      <t>Identificação das principais partes interessadas no projeto (stakeholders do projeto)</t>
    </r>
  </si>
  <si>
    <r>
      <t xml:space="preserve">Quadro 01. Matriz Interesse </t>
    </r>
    <r>
      <rPr>
        <b/>
        <i/>
        <sz val="11"/>
        <rFont val="Calibri"/>
        <family val="2"/>
      </rPr>
      <t>versus</t>
    </r>
    <r>
      <rPr>
        <b/>
        <sz val="11"/>
        <rFont val="Calibri"/>
        <family val="2"/>
      </rPr>
      <t xml:space="preserve"> Poder para o projeto</t>
    </r>
  </si>
  <si>
    <t>Identificação Stakeholder</t>
  </si>
  <si>
    <t>Nível de Interesse no projeto</t>
  </si>
  <si>
    <t>Nível de poder no projeto</t>
  </si>
  <si>
    <t>Explicar a ação a ser tomada:</t>
  </si>
  <si>
    <t>Plano de Comunicação</t>
  </si>
  <si>
    <t>Cliente (Usuários Finais)</t>
  </si>
  <si>
    <t>Obter relatórios e visualizações que auxiliem na tomada de decisão e aumento das vendas.</t>
  </si>
  <si>
    <t>Alto – define as necessidades e valida os resultados do sistema.</t>
  </si>
  <si>
    <t>Fornecer feedback, testar o sistema e indicar melhorias para usabilidade e precisão das análises.</t>
  </si>
  <si>
    <t>Página: 01/01</t>
  </si>
  <si>
    <t>Sucesso do produto, inovação e bem-estar dos usuários.</t>
  </si>
  <si>
    <t>Alto – define a direção e as prioridades do desenvolvimento.</t>
  </si>
  <si>
    <t>Definir a visão do produto, priorizar funcionalidades, alocar recursos e tomar decisões estratégicas.</t>
  </si>
  <si>
    <t>Desenvolvimento técnico e aprendizado contínuo.</t>
  </si>
  <si>
    <t>Médio/Alto – impactam diretamente na qualidade do aplicativo.</t>
  </si>
  <si>
    <t>Escrever código, realizar testes, corrigir falhas e garantir a estabilidade do sistema.</t>
  </si>
  <si>
    <t>Assunto/Conteúdo</t>
  </si>
  <si>
    <t>Tipo</t>
  </si>
  <si>
    <t>Emissor –responsavel</t>
  </si>
  <si>
    <t>Local</t>
  </si>
  <si>
    <t>Receptor</t>
  </si>
  <si>
    <t>Data ou Freqüência</t>
  </si>
  <si>
    <t>Feedback</t>
  </si>
  <si>
    <t>Data Feedback</t>
  </si>
  <si>
    <t>Time Comercial</t>
  </si>
  <si>
    <t>Crescimento do negócio e sucesso no mercado.</t>
  </si>
  <si>
    <t>Médio – influencia as estratégias de vendas e marketing.</t>
  </si>
  <si>
    <t>Negociar parcerias, fechar vendas e atingir metas de receita.</t>
  </si>
  <si>
    <t>STK-001</t>
  </si>
  <si>
    <t>Kick-off Meeting</t>
  </si>
  <si>
    <t>Apresentação do projeto, objetivos, impacto nos usuários finais e coleta de feedback inicial.</t>
  </si>
  <si>
    <t>Reunião</t>
  </si>
  <si>
    <t>Gerente de Projeto</t>
  </si>
  <si>
    <t>Sala de Conferências A</t>
  </si>
  <si>
    <t>Usuários Finais</t>
  </si>
  <si>
    <t>Uma vez no início do projeto</t>
  </si>
  <si>
    <t>Coleta de feedback dos usuários finais</t>
  </si>
  <si>
    <t>Após 2 semanas</t>
  </si>
  <si>
    <t>Discussões adicionais previstas para o final de cada sprint.</t>
  </si>
  <si>
    <t>Marketing</t>
  </si>
  <si>
    <t>Sucesso das campanhas e aumento da base de usuários.</t>
  </si>
  <si>
    <t>Médio – molda a percepção da marca e do produto no mercado.</t>
  </si>
  <si>
    <t>Planejar campanhas, criar conteúdo promocional e monitorar métricas de engajamento.</t>
  </si>
  <si>
    <t>STK-002</t>
  </si>
  <si>
    <t>Reunião de Planejamento</t>
  </si>
  <si>
    <t xml:space="preserve"> Priorização de funcionalidades, critérios de aceitação e revisão dos entregáveis em cada sprint.</t>
  </si>
  <si>
    <t>Scrum Master</t>
  </si>
  <si>
    <t>Sala de Reuniões Core</t>
  </si>
  <si>
    <t>A cada 2 semanas</t>
  </si>
  <si>
    <t>Feedback do Product Owner sobre as funcionalidades e entregas</t>
  </si>
  <si>
    <t xml:space="preserve"> Imediatamente após cada reunião</t>
  </si>
  <si>
    <t>Acompanhamento ágil da equipe de desenvolvimento.</t>
  </si>
  <si>
    <t>UX (User Experience)</t>
  </si>
  <si>
    <t>Satisfação e experiência do usuário final.</t>
  </si>
  <si>
    <t>Médio – influencia na usabilidade e retenção de usuários.</t>
  </si>
  <si>
    <t>Desenvolver interfaces intuitivas, realizar testes de usabilidade e coletar feedback dos usuários.</t>
  </si>
  <si>
    <t>STK-003</t>
  </si>
  <si>
    <t>Reuniões Diárias</t>
  </si>
  <si>
    <t>Atualização do progresso, discussão de desafios, coordenação de tarefas e planejamento de curto prazo.</t>
  </si>
  <si>
    <t>Responsável: Scrum Master</t>
  </si>
  <si>
    <t>Meeting</t>
  </si>
  <si>
    <t>Diariamente</t>
  </si>
  <si>
    <t>Feedback da equipe de desenvolvimento</t>
  </si>
  <si>
    <t>Durante as reuniões diárias</t>
  </si>
  <si>
    <t>Acompanhamento ágil das atividades da equipe.</t>
  </si>
  <si>
    <t>Manter a satisfação e fidelização dos clientes.</t>
  </si>
  <si>
    <t>Baixo/Médio – pode influenciar na imagem e credibilidade do produto.</t>
  </si>
  <si>
    <t>Atender solicitações, resolver problemas e registrar feedbacks para melhoria contínua.</t>
  </si>
  <si>
    <t>STK-004</t>
  </si>
  <si>
    <t>Reunião de Acompanhamento Comercial</t>
  </si>
  <si>
    <t>Avaliação do impacto do projeto nas atividades comerciais, revisão das estratégias e alinhamento de vendas.</t>
  </si>
  <si>
    <t>Responsável: Gerente Comercial</t>
  </si>
  <si>
    <t>Membros da equipe comercial</t>
  </si>
  <si>
    <t>Após cada reunião</t>
  </si>
  <si>
    <t>Feedback da equipe comercial sobre as oportunidades e desafios</t>
  </si>
  <si>
    <t>Ajuste de estratégias de acordo com o andamento do projeto.</t>
  </si>
  <si>
    <t>Crescimento financeiro e sucesso organizacional.</t>
  </si>
  <si>
    <t>Alto – define estratégias e controla recursos do projeto.</t>
  </si>
  <si>
    <t>Estabelecer metas estratégicas, aprovar orçamentos e monitorar resultados gerais.</t>
  </si>
  <si>
    <t>STK-005</t>
  </si>
  <si>
    <t>Reunião de Estratégia de Marketing</t>
  </si>
  <si>
    <t>Desenvolvimento de estratégias de marketing, criação de conteúdo e coordenação para promover o produto/serviço.</t>
  </si>
  <si>
    <t>Gerente de Marketing</t>
  </si>
  <si>
    <t>Membros da equipe de marketing</t>
  </si>
  <si>
    <t>A cada 15 dias</t>
  </si>
  <si>
    <t>Feedback sobre a estratégia de marketing e eficácia das campanhas</t>
  </si>
  <si>
    <t xml:space="preserve"> Ajuste de campanhas de marketing conforme necessário.</t>
  </si>
  <si>
    <t xml:space="preserve"> STK-006</t>
  </si>
  <si>
    <t>Sessões de Design e Usabilidade</t>
  </si>
  <si>
    <t>Discussão de protótipos, pesquisa de usuário, testes de usabilidade e refinamento da experiência do usuário.</t>
  </si>
  <si>
    <t>Responsável: Líder de UX</t>
  </si>
  <si>
    <t>Laboratório de Usabilidade</t>
  </si>
  <si>
    <t>Membros da equipe de UX</t>
  </si>
  <si>
    <t>Semanalmente</t>
  </si>
  <si>
    <t>Feedback sobre o design e usabilidade</t>
  </si>
  <si>
    <t xml:space="preserve"> Após cada sessão</t>
  </si>
  <si>
    <t>Melhoria contínua da experiência do usuário.</t>
  </si>
  <si>
    <t>STK-007</t>
  </si>
  <si>
    <t>: Reunião de Feedback do Cliente</t>
  </si>
  <si>
    <t>Discussão das necessidades e preocupações dos clientes, identificação de problemas e melhoria contínua do suporte.</t>
  </si>
  <si>
    <t>Responsável: Gerente de Suporte ao Cliente</t>
  </si>
  <si>
    <t>Membros da equipe de suporte ao cliente</t>
  </si>
  <si>
    <t xml:space="preserve"> A cada 2 semanas</t>
  </si>
  <si>
    <t>eedback dos clientes sobre o suporte</t>
  </si>
  <si>
    <t>Resolução de problemas e otimização do suporte.</t>
  </si>
  <si>
    <t>STK-008</t>
  </si>
  <si>
    <t>Reunião de Revisão Estratégica</t>
  </si>
  <si>
    <t xml:space="preserve"> Avaliação do alinhamento estratégico, alocação de recursos, tomada de decisões críticas e revisão dos principais indicadores de desempenho.</t>
  </si>
  <si>
    <t>Responsável: CEO</t>
  </si>
  <si>
    <t>Sala de Diretoria</t>
  </si>
  <si>
    <t>Membros da alta administração, como Diretores e Gerentes.</t>
  </si>
  <si>
    <t>Mensalmente</t>
  </si>
  <si>
    <t>Feedback sobre o andamento do projeto em relação aos objetivos estratégicos</t>
  </si>
  <si>
    <t>Tomada de decisões estratégicas e alinhamento organizacional.</t>
  </si>
  <si>
    <t>Gerente do projeto: Yasmin Renata</t>
  </si>
  <si>
    <t>Elaborado por:Equipe Saúde e Bem-Estar</t>
  </si>
  <si>
    <t>Aprovado por: Prefeitura de São Paulo - SP</t>
  </si>
  <si>
    <r>
      <t xml:space="preserve">Alternativas para o campo </t>
    </r>
    <r>
      <rPr>
        <b/>
        <sz val="11"/>
        <color rgb="FFFF0000"/>
        <rFont val="Calibri"/>
        <family val="2"/>
      </rPr>
      <t>Tipo de Mensagem</t>
    </r>
    <r>
      <rPr>
        <sz val="11"/>
        <color rgb="FFFF0000"/>
        <rFont val="Calibri"/>
        <family val="2"/>
      </rPr>
      <t xml:space="preserve">: </t>
    </r>
    <r>
      <rPr>
        <sz val="11"/>
        <rFont val="Calibri"/>
        <family val="2"/>
      </rPr>
      <t xml:space="preserve">Relatório executivo, Relatório operacional, Cartilha, Apostila, Prontuário de registros. Arquivo, </t>
    </r>
    <r>
      <rPr>
        <i/>
        <sz val="11"/>
        <rFont val="Calibri"/>
        <family val="2"/>
      </rPr>
      <t>e-Mail</t>
    </r>
    <r>
      <rPr>
        <sz val="11"/>
        <rFont val="Calibri"/>
        <family val="2"/>
      </rPr>
      <t xml:space="preserve">, Correio convencional, Carta registrada, </t>
    </r>
    <r>
      <rPr>
        <i/>
        <sz val="11"/>
        <rFont val="Calibri"/>
        <family val="2"/>
      </rPr>
      <t>Corrier</t>
    </r>
    <r>
      <rPr>
        <sz val="11"/>
        <rFont val="Calibri"/>
        <family val="2"/>
      </rPr>
      <t>, Telefone (</t>
    </r>
    <r>
      <rPr>
        <i/>
        <sz val="11"/>
        <rFont val="Calibri"/>
        <family val="2"/>
      </rPr>
      <t>voice-mail</t>
    </r>
    <r>
      <rPr>
        <sz val="11"/>
        <rFont val="Calibri"/>
        <family val="2"/>
      </rPr>
      <t xml:space="preserve">), Fax, Reunião, Apresentação, Workshop, Memorando (de/para), Jornal, Vídeo (filme VHS, AVI, etc), Quadro de avisos, Painel, Lista de discução, </t>
    </r>
    <r>
      <rPr>
        <i/>
        <sz val="11"/>
        <rFont val="Calibri"/>
        <family val="2"/>
      </rPr>
      <t>Internet</t>
    </r>
    <r>
      <rPr>
        <sz val="11"/>
        <rFont val="Calibri"/>
        <family val="2"/>
      </rPr>
      <t xml:space="preserve"> ou </t>
    </r>
    <r>
      <rPr>
        <i/>
        <sz val="11"/>
        <rFont val="Calibri"/>
        <family val="2"/>
      </rPr>
      <t>Intranet</t>
    </r>
    <r>
      <rPr>
        <sz val="11"/>
        <rFont val="Calibri"/>
        <family val="2"/>
      </rPr>
      <t>, entre outras.</t>
    </r>
  </si>
  <si>
    <t>1- EQUIPE DO PROJETO</t>
  </si>
  <si>
    <t>NOME</t>
  </si>
  <si>
    <t>Função do projeto</t>
  </si>
  <si>
    <t>Origem</t>
  </si>
  <si>
    <t>Periodo</t>
  </si>
  <si>
    <t>Rodrigo Cruz</t>
  </si>
  <si>
    <t>Gerente do projeto</t>
  </si>
  <si>
    <t>Gerencia (interno)</t>
  </si>
  <si>
    <t>8hrs</t>
  </si>
  <si>
    <t>Lucca Brandão</t>
  </si>
  <si>
    <t>Desenvolvedor Principal</t>
  </si>
  <si>
    <t>TI - Desenvolvimento</t>
  </si>
  <si>
    <t>Murilo Lopes</t>
  </si>
  <si>
    <t>IA e Machine Learning</t>
  </si>
  <si>
    <t>Vinicius Kigo</t>
  </si>
  <si>
    <t>Desenvolvedor de apoio</t>
  </si>
  <si>
    <t>Perfil de Qualificação</t>
  </si>
  <si>
    <t xml:space="preserve">MAPA DE COMPETÊNCIAS </t>
  </si>
  <si>
    <t>Nenhum conhecimento</t>
  </si>
  <si>
    <t>DATI</t>
  </si>
  <si>
    <t>Participou de treinamento</t>
  </si>
  <si>
    <t>Domínio básico</t>
  </si>
  <si>
    <t>Projeto: Dati</t>
  </si>
  <si>
    <t>Experiência prática</t>
  </si>
  <si>
    <t>Responsável: Rodrigo</t>
  </si>
  <si>
    <t>Especialista</t>
  </si>
  <si>
    <t>Habilitação</t>
  </si>
  <si>
    <t>Pessoa</t>
  </si>
  <si>
    <t>Definição estrutural do projeto</t>
  </si>
  <si>
    <t xml:space="preserve">Feedback dos usuários e stakeholders </t>
  </si>
  <si>
    <t>Planejar atividades</t>
  </si>
  <si>
    <t>Elaborar proposta comercial</t>
  </si>
  <si>
    <t>Projetar a interface do usuário</t>
  </si>
  <si>
    <t>Integrar sistemas de terceiros e APIs</t>
  </si>
  <si>
    <t>Utiliza Planilha</t>
  </si>
  <si>
    <t>Utiliza VSCODE</t>
  </si>
  <si>
    <t>Plano de Gerenciamento de RH</t>
  </si>
  <si>
    <t>Planejamento Estratégico</t>
  </si>
  <si>
    <t>Elaborar a W.B.S</t>
  </si>
  <si>
    <t>Gerencia Projetos</t>
  </si>
  <si>
    <t>Controle de Qualidade</t>
  </si>
  <si>
    <t>Criar wireframes</t>
  </si>
  <si>
    <t>Mitigar riscos</t>
  </si>
  <si>
    <t>Procedimentos Administrativos</t>
  </si>
  <si>
    <t>Faturamento da Startup</t>
  </si>
  <si>
    <t>(…)</t>
  </si>
  <si>
    <t>Rodrigo</t>
  </si>
  <si>
    <t>Lucca</t>
  </si>
  <si>
    <t>Vinicius</t>
  </si>
  <si>
    <t>Murilo</t>
  </si>
  <si>
    <t>Modelo de registro de treinamento no local de trabalho.</t>
  </si>
  <si>
    <t>6. Matriz de Responsabilidade</t>
  </si>
  <si>
    <t>Equipe do Projeto</t>
  </si>
  <si>
    <t xml:space="preserve">Etapas – Atividades </t>
  </si>
  <si>
    <t>GP</t>
  </si>
  <si>
    <t>DA</t>
  </si>
  <si>
    <t>DP</t>
  </si>
  <si>
    <t>IA</t>
  </si>
  <si>
    <t>R / A</t>
  </si>
  <si>
    <t>Legenda - - Gráfico RACI (Responsabilidade, Aprovação, Consultado e Informado)</t>
  </si>
  <si>
    <t>Elaborar o Cronograma</t>
  </si>
  <si>
    <t>Análise do csv</t>
  </si>
  <si>
    <t>R - Responsável pela Execução</t>
  </si>
  <si>
    <t>1.4</t>
  </si>
  <si>
    <t>Implementação da ia</t>
  </si>
  <si>
    <t>A - Aprovação</t>
  </si>
  <si>
    <t>1.5</t>
  </si>
  <si>
    <t>Dialogo com os professores</t>
  </si>
  <si>
    <t>C - Consultado</t>
  </si>
  <si>
    <t>1.6</t>
  </si>
  <si>
    <t>Controle do projeto</t>
  </si>
  <si>
    <t>I - Informado</t>
  </si>
  <si>
    <t>1.7</t>
  </si>
  <si>
    <t>Realizar Reuniões Semanais de Acompanhamento</t>
  </si>
  <si>
    <t>P - Participante</t>
  </si>
  <si>
    <t>1.8</t>
  </si>
  <si>
    <t>Encaminhar Relatórios de Comunicação</t>
  </si>
  <si>
    <t>1.9</t>
  </si>
  <si>
    <t>Alteração do readme</t>
  </si>
  <si>
    <t>1.10</t>
  </si>
  <si>
    <t>Criaçao do site</t>
  </si>
  <si>
    <t>1.11</t>
  </si>
  <si>
    <t>Verificação dos dados</t>
  </si>
  <si>
    <t>1.12</t>
  </si>
  <si>
    <t>Entregar Relatório Final do Projeto</t>
  </si>
  <si>
    <t>1.13</t>
  </si>
  <si>
    <t>1.14</t>
  </si>
  <si>
    <t>Ter uma visão clara do aplicativo e seu posicionamento no mercado</t>
  </si>
  <si>
    <t>EQUIPE DO PROJETO</t>
  </si>
  <si>
    <t xml:space="preserve">Vinicius Kingo </t>
  </si>
  <si>
    <t xml:space="preserve">Desenvolvedor de apoio </t>
  </si>
  <si>
    <t>Ia e machine Learning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</si>
</sst>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R$ &quot;* #,##0.00_);_(&quot;R$ &quot;* \(#,##0.00\);_(&quot;R$ &quot;* &quot;-&quot;??_);_(@_)"/>
    <numFmt numFmtId="165" formatCode="ddd\,\ dd/mm/yyyy"/>
    <numFmt numFmtId="166" formatCode="d\-mmm\-yyyy"/>
    <numFmt numFmtId="167" formatCode="d"/>
    <numFmt numFmtId="168" formatCode="d/m/yy;@"/>
    <numFmt numFmtId="169" formatCode="&quot;R$&quot;\ #,##0.00"/>
  </numFmts>
  <fonts count="80" x14ac:knownFonts="1">
    <font>
      <sz val="10"/>
      <name val="Arial"/>
    </font>
    <font>
      <sz val="11"/>
      <color theme="1"/>
      <name val="Calibri"/>
      <family val="2"/>
      <scheme val="minor"/>
    </font>
    <font>
      <sz val="10"/>
      <name val="Arial"/>
      <family val="2"/>
    </font>
    <font>
      <sz val="8"/>
      <name val="Arial"/>
      <family val="2"/>
    </font>
    <font>
      <sz val="12"/>
      <name val="Times New Roman"/>
      <family val="1"/>
    </font>
    <font>
      <b/>
      <sz val="10"/>
      <name val="Arial"/>
      <family val="2"/>
    </font>
    <font>
      <sz val="10"/>
      <name val="Arial"/>
      <family val="2"/>
    </font>
    <font>
      <u/>
      <sz val="10"/>
      <color indexed="12"/>
      <name val="Arial"/>
      <family val="2"/>
    </font>
    <font>
      <b/>
      <sz val="13"/>
      <name val="Times New Roman"/>
      <family val="1"/>
    </font>
    <font>
      <sz val="10"/>
      <name val="Arial"/>
      <family val="2"/>
    </font>
    <font>
      <b/>
      <sz val="12"/>
      <color indexed="9"/>
      <name val="Times New Roman"/>
      <family val="1"/>
    </font>
    <font>
      <sz val="8"/>
      <name val="Arial"/>
      <family val="2"/>
    </font>
    <font>
      <b/>
      <sz val="11"/>
      <name val="Arial"/>
      <family val="2"/>
    </font>
    <font>
      <sz val="12"/>
      <name val="Arial"/>
      <family val="2"/>
    </font>
    <font>
      <sz val="9"/>
      <name val="Arial"/>
      <family val="2"/>
    </font>
    <font>
      <sz val="10"/>
      <name val="Times New Roman"/>
      <family val="1"/>
    </font>
    <font>
      <sz val="11"/>
      <color theme="1"/>
      <name val="Calibri"/>
      <family val="2"/>
      <scheme val="minor"/>
    </font>
    <font>
      <sz val="11"/>
      <color theme="0"/>
      <name val="Calibri"/>
      <family val="2"/>
      <scheme val="minor"/>
    </font>
    <font>
      <b/>
      <sz val="18"/>
      <color theme="3"/>
      <name val="Cambria"/>
      <family val="2"/>
      <scheme val="major"/>
    </font>
    <font>
      <b/>
      <sz val="13"/>
      <color theme="3"/>
      <name val="Calibri"/>
      <family val="2"/>
      <scheme val="minor"/>
    </font>
    <font>
      <b/>
      <sz val="11"/>
      <color theme="3"/>
      <name val="Calibri"/>
      <family val="2"/>
      <scheme val="minor"/>
    </font>
    <font>
      <b/>
      <sz val="11"/>
      <color theme="1"/>
      <name val="Calibri"/>
      <family val="2"/>
      <scheme val="minor"/>
    </font>
    <font>
      <b/>
      <sz val="18"/>
      <color theme="9" tint="-0.249977111117893"/>
      <name val="Arial"/>
      <family val="2"/>
    </font>
    <font>
      <b/>
      <sz val="20"/>
      <color theme="4"/>
      <name val="Arial"/>
      <family val="2"/>
    </font>
    <font>
      <b/>
      <sz val="20"/>
      <color theme="4" tint="-0.249977111117893"/>
      <name val="Cambria"/>
      <family val="2"/>
      <scheme val="major"/>
    </font>
    <font>
      <sz val="10"/>
      <name val="Calibri"/>
      <family val="2"/>
      <scheme val="minor"/>
    </font>
    <font>
      <sz val="9"/>
      <name val="Calibri"/>
      <family val="2"/>
      <scheme val="minor"/>
    </font>
    <font>
      <b/>
      <sz val="9"/>
      <color theme="0"/>
      <name val="Calibri"/>
      <family val="2"/>
      <scheme val="minor"/>
    </font>
    <font>
      <sz val="8"/>
      <color theme="0"/>
      <name val="Calibri"/>
      <family val="2"/>
      <scheme val="minor"/>
    </font>
    <font>
      <sz val="11"/>
      <name val="Calibri"/>
      <family val="2"/>
      <scheme val="minor"/>
    </font>
    <font>
      <i/>
      <sz val="9"/>
      <color theme="1"/>
      <name val="Calibri"/>
      <family val="2"/>
      <scheme val="minor"/>
    </font>
    <font>
      <sz val="10"/>
      <color theme="1" tint="0.499984740745262"/>
      <name val="Calibri"/>
      <family val="2"/>
      <scheme val="minor"/>
    </font>
    <font>
      <b/>
      <sz val="11"/>
      <color theme="1" tint="0.499984740745262"/>
      <name val="Calibri"/>
      <family val="2"/>
      <scheme val="minor"/>
    </font>
    <font>
      <sz val="10"/>
      <color theme="1" tint="0.499984740745262"/>
      <name val="Arial"/>
      <family val="2"/>
    </font>
    <font>
      <b/>
      <sz val="12"/>
      <color theme="1"/>
      <name val="Arial"/>
      <family val="2"/>
    </font>
    <font>
      <b/>
      <sz val="12"/>
      <name val="Arial"/>
      <family val="2"/>
    </font>
    <font>
      <u/>
      <sz val="12"/>
      <name val="Arial"/>
      <family val="2"/>
    </font>
    <font>
      <sz val="12"/>
      <color rgb="FF374151"/>
      <name val="Arial"/>
      <family val="2"/>
    </font>
    <font>
      <sz val="11"/>
      <name val="Arial"/>
      <family val="2"/>
    </font>
    <font>
      <b/>
      <sz val="14"/>
      <name val="Arial"/>
      <family val="2"/>
    </font>
    <font>
      <sz val="9"/>
      <name val="Times New Roman"/>
      <family val="1"/>
    </font>
    <font>
      <sz val="10"/>
      <color rgb="FF374151"/>
      <name val="Arial"/>
      <family val="2"/>
    </font>
    <font>
      <b/>
      <sz val="9"/>
      <name val="Arial"/>
      <family val="2"/>
    </font>
    <font>
      <sz val="14"/>
      <name val="Arial"/>
      <family val="2"/>
    </font>
    <font>
      <b/>
      <sz val="14"/>
      <color theme="1"/>
      <name val="Arial"/>
      <family val="2"/>
    </font>
    <font>
      <b/>
      <sz val="18"/>
      <name val="Arial"/>
      <family val="2"/>
    </font>
    <font>
      <u/>
      <sz val="11"/>
      <color theme="10"/>
      <name val="Calibri"/>
      <family val="2"/>
      <scheme val="minor"/>
    </font>
    <font>
      <sz val="11"/>
      <color theme="1"/>
      <name val="Calibri"/>
      <family val="2"/>
    </font>
    <font>
      <sz val="10"/>
      <name val="Arial"/>
      <family val="2"/>
    </font>
    <font>
      <b/>
      <sz val="8"/>
      <name val="Arial"/>
      <family val="2"/>
    </font>
    <font>
      <b/>
      <sz val="10"/>
      <name val="Calibri"/>
      <family val="2"/>
      <scheme val="minor"/>
    </font>
    <font>
      <b/>
      <sz val="16"/>
      <name val="Calibri"/>
      <family val="2"/>
      <scheme val="minor"/>
    </font>
    <font>
      <sz val="16"/>
      <name val="Calibri"/>
      <family val="2"/>
      <scheme val="minor"/>
    </font>
    <font>
      <b/>
      <i/>
      <sz val="16"/>
      <name val="Calibri"/>
      <family val="2"/>
      <scheme val="minor"/>
    </font>
    <font>
      <sz val="10"/>
      <color theme="1"/>
      <name val="Arial"/>
      <family val="2"/>
    </font>
    <font>
      <b/>
      <sz val="11"/>
      <name val="Calibri"/>
      <family val="2"/>
    </font>
    <font>
      <b/>
      <sz val="7"/>
      <name val="Times New Roman"/>
      <family val="1"/>
    </font>
    <font>
      <sz val="11"/>
      <name val="Calibri"/>
      <family val="2"/>
    </font>
    <font>
      <b/>
      <i/>
      <sz val="11"/>
      <name val="Calibri"/>
      <family val="2"/>
    </font>
    <font>
      <b/>
      <sz val="16"/>
      <name val="Arial"/>
      <family val="2"/>
    </font>
    <font>
      <sz val="3"/>
      <name val="Calibri"/>
      <family val="2"/>
    </font>
    <font>
      <sz val="10"/>
      <name val="Calibri"/>
      <family val="2"/>
    </font>
    <font>
      <b/>
      <sz val="10"/>
      <name val="Calibri"/>
      <family val="2"/>
    </font>
    <font>
      <sz val="11"/>
      <color rgb="FFFF0000"/>
      <name val="Calibri"/>
      <family val="2"/>
    </font>
    <font>
      <b/>
      <sz val="11"/>
      <color rgb="FFFF0000"/>
      <name val="Calibri"/>
      <family val="2"/>
    </font>
    <font>
      <i/>
      <sz val="11"/>
      <name val="Calibri"/>
      <family val="2"/>
    </font>
    <font>
      <sz val="12"/>
      <color rgb="FF374151"/>
      <name val="Segoe UI"/>
      <family val="2"/>
    </font>
    <font>
      <b/>
      <u/>
      <sz val="12"/>
      <name val="Arial"/>
      <family val="2"/>
    </font>
    <font>
      <b/>
      <sz val="12"/>
      <color indexed="9"/>
      <name val="Arial"/>
      <family val="2"/>
    </font>
    <font>
      <i/>
      <sz val="14"/>
      <name val="Arial"/>
      <family val="2"/>
    </font>
    <font>
      <b/>
      <sz val="14"/>
      <color indexed="62"/>
      <name val="Arial"/>
      <family val="2"/>
    </font>
    <font>
      <sz val="12"/>
      <color indexed="9"/>
      <name val="Arial"/>
      <family val="2"/>
    </font>
    <font>
      <b/>
      <sz val="10"/>
      <color indexed="9"/>
      <name val="Arial"/>
      <family val="2"/>
    </font>
    <font>
      <b/>
      <sz val="10"/>
      <color theme="1"/>
      <name val="Arial"/>
      <family val="2"/>
    </font>
    <font>
      <b/>
      <sz val="15"/>
      <name val="Arial"/>
      <family val="2"/>
    </font>
    <font>
      <b/>
      <sz val="11"/>
      <name val="Calibri"/>
      <family val="2"/>
      <scheme val="minor"/>
    </font>
    <font>
      <sz val="12"/>
      <name val="Calibri"/>
      <family val="2"/>
      <scheme val="minor"/>
    </font>
    <font>
      <b/>
      <sz val="10"/>
      <color theme="0"/>
      <name val="Arial"/>
      <family val="2"/>
    </font>
    <font>
      <sz val="9"/>
      <color rgb="FF000000"/>
      <name val="Calibri"/>
      <family val="2"/>
    </font>
    <font>
      <sz val="9"/>
      <name val="Calibri"/>
      <family val="2"/>
    </font>
  </fonts>
  <fills count="40">
    <fill>
      <patternFill patternType="none"/>
    </fill>
    <fill>
      <patternFill patternType="gray125"/>
    </fill>
    <fill>
      <patternFill patternType="solid">
        <fgColor indexed="62"/>
        <bgColor indexed="64"/>
      </patternFill>
    </fill>
    <fill>
      <patternFill patternType="solid">
        <fgColor indexed="56"/>
        <bgColor indexed="64"/>
      </patternFill>
    </fill>
    <fill>
      <patternFill patternType="solid">
        <fgColor indexed="9"/>
        <bgColor indexed="64"/>
      </patternFill>
    </fill>
    <fill>
      <patternFill patternType="solid">
        <fgColor theme="3" tint="0.59999389629810485"/>
        <bgColor indexed="64"/>
      </patternFill>
    </fill>
    <fill>
      <patternFill patternType="solid">
        <fgColor theme="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1" tint="0.34998626667073579"/>
        <bgColor theme="4"/>
      </patternFill>
    </fill>
    <fill>
      <patternFill patternType="solid">
        <fgColor theme="1" tint="0.34998626667073579"/>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theme="3" tint="0.79998168889431442"/>
        <bgColor indexed="64"/>
      </patternFill>
    </fill>
    <fill>
      <patternFill patternType="solid">
        <fgColor theme="8" tint="0.59999389629810485"/>
        <bgColor indexed="64"/>
      </patternFill>
    </fill>
    <fill>
      <patternFill patternType="solid">
        <fgColor theme="6" tint="0.59999389629810485"/>
        <bgColor indexed="65"/>
      </patternFill>
    </fill>
    <fill>
      <patternFill patternType="solid">
        <fgColor theme="4"/>
        <bgColor theme="4"/>
      </patternFill>
    </fill>
    <fill>
      <patternFill patternType="solid">
        <fgColor theme="5"/>
        <bgColor theme="5"/>
      </patternFill>
    </fill>
    <fill>
      <patternFill patternType="solid">
        <fgColor theme="4"/>
        <bgColor indexed="64"/>
      </patternFill>
    </fill>
    <fill>
      <patternFill patternType="solid">
        <fgColor rgb="FF00B0F0"/>
        <bgColor indexed="64"/>
      </patternFill>
    </fill>
    <fill>
      <patternFill patternType="solid">
        <fgColor rgb="FF00B050"/>
        <bgColor indexed="64"/>
      </patternFill>
    </fill>
    <fill>
      <patternFill patternType="solid">
        <fgColor theme="9"/>
        <bgColor indexed="64"/>
      </patternFill>
    </fill>
    <fill>
      <patternFill patternType="solid">
        <fgColor rgb="FFFFFFFF"/>
        <bgColor indexed="64"/>
      </patternFill>
    </fill>
    <fill>
      <patternFill patternType="solid">
        <fgColor rgb="FFA679E7"/>
        <bgColor indexed="64"/>
      </patternFill>
    </fill>
    <fill>
      <patternFill patternType="gray125">
        <bgColor rgb="FFDFDFDF"/>
      </patternFill>
    </fill>
    <fill>
      <patternFill patternType="solid">
        <fgColor indexed="47"/>
        <bgColor indexed="64"/>
      </patternFill>
    </fill>
    <fill>
      <patternFill patternType="solid">
        <fgColor indexed="43"/>
        <bgColor indexed="64"/>
      </patternFill>
    </fill>
    <fill>
      <patternFill patternType="solid">
        <fgColor rgb="FFFFFF99"/>
        <bgColor indexed="64"/>
      </patternFill>
    </fill>
    <fill>
      <patternFill patternType="solid">
        <fgColor indexed="42"/>
        <bgColor indexed="64"/>
      </patternFill>
    </fill>
    <fill>
      <patternFill patternType="solid">
        <fgColor indexed="10"/>
        <bgColor indexed="64"/>
      </patternFill>
    </fill>
    <fill>
      <patternFill patternType="solid">
        <fgColor rgb="FFFF0000"/>
        <bgColor indexed="64"/>
      </patternFill>
    </fill>
    <fill>
      <patternFill patternType="solid">
        <fgColor rgb="FFCCFFCC"/>
        <bgColor indexed="64"/>
      </patternFill>
    </fill>
  </fills>
  <borders count="12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style="medium">
        <color indexed="64"/>
      </bottom>
      <diagonal/>
    </border>
    <border>
      <left/>
      <right style="thick">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theme="3"/>
      </left>
      <right style="thin">
        <color theme="3"/>
      </right>
      <top style="thin">
        <color theme="3"/>
      </top>
      <bottom style="thin">
        <color theme="3"/>
      </bottom>
      <diagonal/>
    </border>
    <border>
      <left style="thin">
        <color theme="3"/>
      </left>
      <right style="thin">
        <color theme="3"/>
      </right>
      <top style="thin">
        <color theme="3"/>
      </top>
      <bottom/>
      <diagonal/>
    </border>
    <border>
      <left style="thin">
        <color theme="3"/>
      </left>
      <right style="thin">
        <color theme="3"/>
      </right>
      <top/>
      <bottom/>
      <diagonal/>
    </border>
    <border>
      <left style="thin">
        <color theme="3"/>
      </left>
      <right style="thin">
        <color theme="3"/>
      </right>
      <top/>
      <bottom style="thin">
        <color theme="3"/>
      </bottom>
      <diagonal/>
    </border>
    <border>
      <left style="thin">
        <color rgb="FF999999"/>
      </left>
      <right/>
      <top style="thin">
        <color rgb="FF999999"/>
      </top>
      <bottom/>
      <diagonal/>
    </border>
    <border>
      <left style="thin">
        <color indexed="65"/>
      </left>
      <right/>
      <top style="thin">
        <color rgb="FF999999"/>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top style="thin">
        <color indexed="9"/>
      </top>
      <bottom/>
      <diagonal/>
    </border>
    <border>
      <left style="thin">
        <color indexed="9"/>
      </left>
      <right/>
      <top style="thin">
        <color rgb="FF999999"/>
      </top>
      <bottom style="thin">
        <color rgb="FF999999"/>
      </bottom>
      <diagonal/>
    </border>
    <border>
      <left/>
      <right style="thin">
        <color theme="0" tint="-0.34998626667073579"/>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34998626667073579"/>
      </bottom>
      <diagonal/>
    </border>
    <border>
      <left style="thin">
        <color theme="0" tint="-0.34998626667073579"/>
      </left>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style="medium">
        <color theme="0" tint="-0.14996795556505021"/>
      </top>
      <bottom style="medium">
        <color theme="0" tint="-0.14996795556505021"/>
      </bottom>
      <diagonal/>
    </border>
    <border>
      <left/>
      <right style="thin">
        <color theme="3"/>
      </right>
      <top style="thin">
        <color theme="3"/>
      </top>
      <bottom style="thin">
        <color theme="3"/>
      </bottom>
      <diagonal/>
    </border>
    <border>
      <left style="thin">
        <color theme="3"/>
      </left>
      <right style="medium">
        <color indexed="64"/>
      </right>
      <top style="thin">
        <color theme="3"/>
      </top>
      <bottom style="thin">
        <color theme="3"/>
      </bottom>
      <diagonal/>
    </border>
    <border>
      <left style="thin">
        <color theme="3"/>
      </left>
      <right style="medium">
        <color indexed="64"/>
      </right>
      <top/>
      <bottom style="thin">
        <color theme="3"/>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theme="3"/>
      </left>
      <right/>
      <top style="thin">
        <color theme="3"/>
      </top>
      <bottom style="thin">
        <color theme="3"/>
      </bottom>
      <diagonal/>
    </border>
    <border>
      <left style="thin">
        <color theme="3"/>
      </left>
      <right/>
      <top style="thin">
        <color theme="3"/>
      </top>
      <bottom/>
      <diagonal/>
    </border>
    <border>
      <left/>
      <right style="thin">
        <color theme="3"/>
      </right>
      <top/>
      <bottom style="thin">
        <color theme="3"/>
      </bottom>
      <diagonal/>
    </border>
    <border>
      <left style="thin">
        <color indexed="64"/>
      </left>
      <right style="thin">
        <color indexed="64"/>
      </right>
      <top style="thin">
        <color indexed="64"/>
      </top>
      <bottom/>
      <diagonal/>
    </border>
    <border>
      <left/>
      <right style="thin">
        <color theme="3"/>
      </right>
      <top style="thin">
        <color theme="3"/>
      </top>
      <bottom/>
      <diagonal/>
    </border>
    <border>
      <left style="thin">
        <color theme="3"/>
      </left>
      <right style="medium">
        <color indexed="64"/>
      </right>
      <top style="thin">
        <color theme="3"/>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theme="3"/>
      </top>
      <bottom style="thin">
        <color theme="3"/>
      </bottom>
      <diagonal/>
    </border>
    <border>
      <left style="medium">
        <color indexed="64"/>
      </left>
      <right style="medium">
        <color indexed="64"/>
      </right>
      <top/>
      <bottom style="thin">
        <color theme="3"/>
      </bottom>
      <diagonal/>
    </border>
    <border>
      <left style="medium">
        <color indexed="64"/>
      </left>
      <right style="medium">
        <color indexed="64"/>
      </right>
      <top style="thin">
        <color theme="3"/>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theme="3"/>
      </top>
      <bottom style="thin">
        <color theme="3"/>
      </bottom>
      <diagonal/>
    </border>
    <border>
      <left style="medium">
        <color indexed="64"/>
      </left>
      <right/>
      <top style="thin">
        <color theme="3"/>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style="thin">
        <color theme="3"/>
      </right>
      <top style="medium">
        <color indexed="64"/>
      </top>
      <bottom style="medium">
        <color indexed="64"/>
      </bottom>
      <diagonal/>
    </border>
    <border>
      <left style="thin">
        <color theme="3"/>
      </left>
      <right style="thin">
        <color theme="3"/>
      </right>
      <top style="medium">
        <color indexed="64"/>
      </top>
      <bottom style="medium">
        <color indexed="64"/>
      </bottom>
      <diagonal/>
    </border>
    <border>
      <left style="thin">
        <color theme="3"/>
      </left>
      <right style="medium">
        <color indexed="64"/>
      </right>
      <top style="medium">
        <color indexed="64"/>
      </top>
      <bottom style="medium">
        <color indexed="64"/>
      </bottom>
      <diagonal/>
    </border>
    <border>
      <left style="medium">
        <color indexed="64"/>
      </left>
      <right/>
      <top/>
      <bottom style="thin">
        <color theme="3"/>
      </bottom>
      <diagonal/>
    </border>
    <border>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medium">
        <color indexed="64"/>
      </bottom>
      <diagonal/>
    </border>
    <border>
      <left style="thin">
        <color theme="3"/>
      </left>
      <right/>
      <top/>
      <bottom style="thin">
        <color theme="3"/>
      </bottom>
      <diagonal/>
    </border>
    <border>
      <left style="thin">
        <color indexed="64"/>
      </left>
      <right/>
      <top/>
      <bottom style="medium">
        <color indexed="64"/>
      </bottom>
      <diagonal/>
    </border>
    <border>
      <left style="medium">
        <color indexed="64"/>
      </left>
      <right style="thin">
        <color theme="3"/>
      </right>
      <top style="medium">
        <color indexed="64"/>
      </top>
      <bottom style="medium">
        <color indexed="64"/>
      </bottom>
      <diagonal/>
    </border>
    <border>
      <left style="medium">
        <color indexed="64"/>
      </left>
      <right style="thin">
        <color theme="3"/>
      </right>
      <top/>
      <bottom style="thin">
        <color theme="3"/>
      </bottom>
      <diagonal/>
    </border>
    <border>
      <left/>
      <right style="medium">
        <color indexed="64"/>
      </right>
      <top/>
      <bottom style="thin">
        <color theme="3"/>
      </bottom>
      <diagonal/>
    </border>
    <border>
      <left style="medium">
        <color indexed="64"/>
      </left>
      <right style="thin">
        <color theme="3"/>
      </right>
      <top/>
      <bottom/>
      <diagonal/>
    </border>
    <border>
      <left style="thin">
        <color theme="3"/>
      </left>
      <right style="medium">
        <color indexed="64"/>
      </right>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right style="medium">
        <color rgb="FF000000"/>
      </right>
      <top style="medium">
        <color indexed="64"/>
      </top>
      <bottom style="medium">
        <color indexed="64"/>
      </bottom>
      <diagonal/>
    </border>
    <border>
      <left style="medium">
        <color rgb="FF000000"/>
      </left>
      <right/>
      <top/>
      <bottom/>
      <diagonal/>
    </border>
    <border>
      <left style="thick">
        <color indexed="64"/>
      </left>
      <right style="medium">
        <color indexed="64"/>
      </right>
      <top style="thick">
        <color indexed="64"/>
      </top>
      <bottom style="medium">
        <color indexed="64"/>
      </bottom>
      <diagonal/>
    </border>
    <border>
      <left/>
      <right style="medium">
        <color indexed="64"/>
      </right>
      <top style="thick">
        <color indexed="64"/>
      </top>
      <bottom style="medium">
        <color indexed="64"/>
      </bottom>
      <diagonal/>
    </border>
    <border>
      <left style="medium">
        <color indexed="64"/>
      </left>
      <right/>
      <top style="thick">
        <color indexed="64"/>
      </top>
      <bottom style="medium">
        <color indexed="64"/>
      </bottom>
      <diagonal/>
    </border>
    <border>
      <left/>
      <right style="thick">
        <color indexed="64"/>
      </right>
      <top style="thick">
        <color indexed="64"/>
      </top>
      <bottom style="medium">
        <color indexed="64"/>
      </bottom>
      <diagonal/>
    </border>
    <border>
      <left style="thick">
        <color indexed="64"/>
      </left>
      <right style="medium">
        <color indexed="64"/>
      </right>
      <top/>
      <bottom style="medium">
        <color indexed="64"/>
      </bottom>
      <diagonal/>
    </border>
    <border>
      <left style="medium">
        <color rgb="FF000000"/>
      </left>
      <right/>
      <top style="medium">
        <color indexed="64"/>
      </top>
      <bottom style="medium">
        <color indexed="64"/>
      </bottom>
      <diagonal/>
    </border>
    <border>
      <left style="medium">
        <color rgb="FF000000"/>
      </left>
      <right/>
      <top style="medium">
        <color indexed="64"/>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s>
  <cellStyleXfs count="21">
    <xf numFmtId="0" fontId="0" fillId="0" borderId="0"/>
    <xf numFmtId="168" fontId="16" fillId="0" borderId="43" applyFill="0">
      <alignment horizontal="center" vertical="center"/>
    </xf>
    <xf numFmtId="0" fontId="7" fillId="0" borderId="0" applyNumberFormat="0" applyFill="0" applyBorder="0" applyAlignment="0" applyProtection="0">
      <alignment vertical="top"/>
      <protection locked="0"/>
    </xf>
    <xf numFmtId="165" fontId="16" fillId="0" borderId="35">
      <alignment horizontal="center" vertical="center"/>
    </xf>
    <xf numFmtId="164" fontId="2" fillId="0" borderId="0" applyFont="0" applyFill="0" applyBorder="0" applyAlignment="0" applyProtection="0"/>
    <xf numFmtId="0" fontId="16" fillId="0" borderId="43" applyFill="0">
      <alignment horizontal="center" vertical="center"/>
    </xf>
    <xf numFmtId="9" fontId="2" fillId="0" borderId="0" applyFont="0" applyFill="0" applyBorder="0" applyAlignment="0" applyProtection="0"/>
    <xf numFmtId="0" fontId="16" fillId="0" borderId="43" applyFill="0">
      <alignment horizontal="left" vertical="center" indent="2"/>
    </xf>
    <xf numFmtId="0" fontId="18" fillId="0" borderId="0" applyNumberFormat="0" applyFill="0" applyBorder="0" applyAlignment="0" applyProtection="0"/>
    <xf numFmtId="0" fontId="19" fillId="0" borderId="21" applyNumberFormat="0" applyFill="0" applyAlignment="0" applyProtection="0"/>
    <xf numFmtId="0" fontId="20" fillId="0" borderId="22" applyNumberFormat="0" applyFill="0" applyAlignment="0" applyProtection="0"/>
    <xf numFmtId="0" fontId="17" fillId="0" borderId="0"/>
    <xf numFmtId="0" fontId="2" fillId="0" borderId="0"/>
    <xf numFmtId="0" fontId="18" fillId="0" borderId="0" applyNumberFormat="0" applyFill="0" applyBorder="0" applyAlignment="0" applyProtection="0"/>
    <xf numFmtId="0" fontId="46" fillId="0" borderId="0" applyNumberFormat="0" applyFill="0" applyBorder="0" applyAlignment="0" applyProtection="0"/>
    <xf numFmtId="0" fontId="17" fillId="24" borderId="0" applyNumberFormat="0" applyBorder="0" applyAlignment="0" applyProtection="0"/>
    <xf numFmtId="0" fontId="29" fillId="0" borderId="0"/>
    <xf numFmtId="0" fontId="17" fillId="25" borderId="0" applyNumberFormat="0" applyBorder="0" applyAlignment="0" applyProtection="0"/>
    <xf numFmtId="0" fontId="47" fillId="23" borderId="0" applyNumberFormat="0" applyBorder="0" applyAlignment="0" applyProtection="0"/>
    <xf numFmtId="0" fontId="1" fillId="0" borderId="0"/>
    <xf numFmtId="9" fontId="48" fillId="0" borderId="0" applyFont="0" applyFill="0" applyBorder="0" applyAlignment="0" applyProtection="0"/>
  </cellStyleXfs>
  <cellXfs count="483">
    <xf numFmtId="0" fontId="0" fillId="0" borderId="0" xfId="0"/>
    <xf numFmtId="0" fontId="0" fillId="0" borderId="0" xfId="0" applyAlignment="1">
      <alignment horizontal="center"/>
    </xf>
    <xf numFmtId="0" fontId="6" fillId="0" borderId="0" xfId="0" applyFont="1"/>
    <xf numFmtId="0" fontId="0" fillId="0" borderId="0" xfId="0" applyAlignment="1">
      <alignment horizontal="left"/>
    </xf>
    <xf numFmtId="0" fontId="8" fillId="0" borderId="0" xfId="0" applyFont="1"/>
    <xf numFmtId="0" fontId="4" fillId="0" borderId="1" xfId="0" applyFont="1" applyBorder="1" applyAlignment="1">
      <alignment horizontal="left" vertical="top" wrapText="1"/>
    </xf>
    <xf numFmtId="0" fontId="4" fillId="0" borderId="2" xfId="0" applyFont="1" applyBorder="1" applyAlignment="1">
      <alignment horizontal="left" vertical="top" wrapText="1" indent="2"/>
    </xf>
    <xf numFmtId="0" fontId="9" fillId="0" borderId="0" xfId="0" applyFont="1"/>
    <xf numFmtId="0" fontId="5" fillId="0" borderId="0" xfId="0" applyFont="1" applyAlignment="1">
      <alignment vertical="center"/>
    </xf>
    <xf numFmtId="0" fontId="4" fillId="0" borderId="1" xfId="0" applyFont="1" applyBorder="1" applyAlignment="1">
      <alignment horizontal="left" vertical="center" wrapText="1"/>
    </xf>
    <xf numFmtId="0" fontId="9" fillId="0" borderId="0" xfId="0" applyFont="1" applyAlignment="1">
      <alignment vertical="center"/>
    </xf>
    <xf numFmtId="0" fontId="4" fillId="0" borderId="2" xfId="0" applyFont="1" applyBorder="1" applyAlignment="1">
      <alignment horizontal="left" vertical="center" wrapText="1" indent="2"/>
    </xf>
    <xf numFmtId="0" fontId="10" fillId="2" borderId="3" xfId="0" applyFont="1" applyFill="1" applyBorder="1" applyAlignment="1">
      <alignment horizontal="left" vertical="center" wrapText="1" indent="2"/>
    </xf>
    <xf numFmtId="0" fontId="10" fillId="2" borderId="4" xfId="0" applyFont="1" applyFill="1" applyBorder="1" applyAlignment="1">
      <alignment horizontal="left" vertical="center" wrapText="1"/>
    </xf>
    <xf numFmtId="0" fontId="0" fillId="0" borderId="0" xfId="0" applyAlignment="1">
      <alignment vertical="center"/>
    </xf>
    <xf numFmtId="0" fontId="6" fillId="0" borderId="5" xfId="0" applyFont="1" applyBorder="1"/>
    <xf numFmtId="0" fontId="6" fillId="0" borderId="6" xfId="0" applyFont="1" applyBorder="1"/>
    <xf numFmtId="0" fontId="10" fillId="3" borderId="7" xfId="0" applyFont="1" applyFill="1" applyBorder="1" applyAlignment="1">
      <alignment horizontal="center" vertical="center" wrapText="1"/>
    </xf>
    <xf numFmtId="0" fontId="10" fillId="3" borderId="8" xfId="0" applyFont="1" applyFill="1" applyBorder="1" applyAlignment="1">
      <alignment horizontal="center" vertical="center" wrapText="1"/>
    </xf>
    <xf numFmtId="0" fontId="10" fillId="3" borderId="9" xfId="0" applyFont="1" applyFill="1" applyBorder="1" applyAlignment="1">
      <alignment horizontal="center" vertical="center" wrapText="1"/>
    </xf>
    <xf numFmtId="0" fontId="10" fillId="3" borderId="10" xfId="0" applyFont="1" applyFill="1" applyBorder="1" applyAlignment="1">
      <alignment horizontal="center" vertical="center" wrapText="1"/>
    </xf>
    <xf numFmtId="0" fontId="0" fillId="0" borderId="5" xfId="0" applyBorder="1"/>
    <xf numFmtId="0" fontId="5" fillId="0" borderId="0" xfId="0" applyFont="1"/>
    <xf numFmtId="0" fontId="13" fillId="0" borderId="0" xfId="0" applyFont="1"/>
    <xf numFmtId="0" fontId="22" fillId="0" borderId="0" xfId="0" applyFont="1" applyAlignment="1">
      <alignment horizontal="center" vertical="center"/>
    </xf>
    <xf numFmtId="0" fontId="23" fillId="0" borderId="0" xfId="0" applyFont="1" applyAlignment="1">
      <alignment horizontal="center"/>
    </xf>
    <xf numFmtId="0" fontId="23" fillId="0" borderId="0" xfId="0" applyFont="1"/>
    <xf numFmtId="0" fontId="14" fillId="0" borderId="0" xfId="0" applyFont="1"/>
    <xf numFmtId="0" fontId="0" fillId="0" borderId="27" xfId="0" applyBorder="1"/>
    <xf numFmtId="0" fontId="0" fillId="0" borderId="28" xfId="0" applyBorder="1"/>
    <xf numFmtId="0" fontId="0" fillId="0" borderId="27" xfId="0" pivotButton="1" applyBorder="1"/>
    <xf numFmtId="0" fontId="0" fillId="0" borderId="29" xfId="0" applyBorder="1"/>
    <xf numFmtId="0" fontId="0" fillId="0" borderId="30" xfId="0" applyBorder="1"/>
    <xf numFmtId="0" fontId="0" fillId="0" borderId="31" xfId="0" applyBorder="1"/>
    <xf numFmtId="0" fontId="0" fillId="0" borderId="32" xfId="0" applyBorder="1"/>
    <xf numFmtId="0" fontId="0" fillId="0" borderId="33" xfId="0" applyBorder="1"/>
    <xf numFmtId="0" fontId="17" fillId="0" borderId="0" xfId="11" applyAlignment="1">
      <alignment wrapText="1"/>
    </xf>
    <xf numFmtId="0" fontId="18" fillId="0" borderId="0" xfId="8" applyAlignment="1">
      <alignment horizontal="left"/>
    </xf>
    <xf numFmtId="0" fontId="24" fillId="0" borderId="0" xfId="0" applyFont="1" applyAlignment="1">
      <alignment horizontal="left"/>
    </xf>
    <xf numFmtId="0" fontId="25" fillId="0" borderId="0" xfId="0" applyFont="1"/>
    <xf numFmtId="0" fontId="25" fillId="0" borderId="0" xfId="0" applyFont="1" applyAlignment="1">
      <alignment horizontal="center"/>
    </xf>
    <xf numFmtId="0" fontId="17" fillId="0" borderId="0" xfId="11"/>
    <xf numFmtId="0" fontId="0" fillId="0" borderId="35" xfId="0" applyBorder="1" applyAlignment="1">
      <alignment horizontal="center" vertical="center"/>
    </xf>
    <xf numFmtId="0" fontId="0" fillId="0" borderId="39" xfId="0" applyBorder="1"/>
    <xf numFmtId="167" fontId="26" fillId="8" borderId="40" xfId="0" applyNumberFormat="1" applyFont="1" applyFill="1" applyBorder="1" applyAlignment="1">
      <alignment horizontal="center" vertical="center"/>
    </xf>
    <xf numFmtId="167" fontId="26" fillId="8" borderId="0" xfId="0" applyNumberFormat="1" applyFont="1" applyFill="1" applyAlignment="1">
      <alignment horizontal="center" vertical="center"/>
    </xf>
    <xf numFmtId="167" fontId="26" fillId="8" borderId="34" xfId="0" applyNumberFormat="1" applyFont="1" applyFill="1" applyBorder="1" applyAlignment="1">
      <alignment horizontal="center" vertical="center"/>
    </xf>
    <xf numFmtId="0" fontId="27" fillId="9" borderId="37" xfId="0" applyFont="1" applyFill="1" applyBorder="1" applyAlignment="1">
      <alignment horizontal="left" vertical="center" indent="1"/>
    </xf>
    <xf numFmtId="0" fontId="27" fillId="9" borderId="37" xfId="0" applyFont="1" applyFill="1" applyBorder="1" applyAlignment="1">
      <alignment horizontal="center" vertical="center" wrapText="1"/>
    </xf>
    <xf numFmtId="0" fontId="28" fillId="10" borderId="41" xfId="0" applyFont="1" applyFill="1" applyBorder="1" applyAlignment="1">
      <alignment horizontal="center" vertical="center" shrinkToFit="1"/>
    </xf>
    <xf numFmtId="0" fontId="0" fillId="0" borderId="0" xfId="0" applyAlignment="1">
      <alignment wrapText="1"/>
    </xf>
    <xf numFmtId="0" fontId="0" fillId="0" borderId="42" xfId="0" applyBorder="1" applyAlignment="1">
      <alignment vertical="center"/>
    </xf>
    <xf numFmtId="0" fontId="21" fillId="11" borderId="43" xfId="0" applyFont="1" applyFill="1" applyBorder="1" applyAlignment="1">
      <alignment horizontal="left" vertical="center" indent="1"/>
    </xf>
    <xf numFmtId="0" fontId="16" fillId="11" borderId="43" xfId="5" applyFill="1">
      <alignment horizontal="center" vertical="center"/>
    </xf>
    <xf numFmtId="9" fontId="29" fillId="11" borderId="43" xfId="6" applyFont="1" applyFill="1" applyBorder="1" applyAlignment="1">
      <alignment horizontal="center" vertical="center"/>
    </xf>
    <xf numFmtId="168" fontId="0" fillId="11" borderId="43" xfId="0" applyNumberFormat="1" applyFill="1" applyBorder="1" applyAlignment="1">
      <alignment horizontal="center" vertical="center"/>
    </xf>
    <xf numFmtId="168" fontId="29" fillId="11" borderId="43" xfId="0" applyNumberFormat="1" applyFont="1" applyFill="1" applyBorder="1" applyAlignment="1">
      <alignment horizontal="center" vertical="center"/>
    </xf>
    <xf numFmtId="0" fontId="29" fillId="0" borderId="43" xfId="0" applyFont="1" applyBorder="1" applyAlignment="1">
      <alignment horizontal="center" vertical="center"/>
    </xf>
    <xf numFmtId="0" fontId="16" fillId="12" borderId="43" xfId="7" applyFill="1">
      <alignment horizontal="left" vertical="center" indent="2"/>
    </xf>
    <xf numFmtId="0" fontId="16" fillId="12" borderId="43" xfId="5" applyFill="1">
      <alignment horizontal="center" vertical="center"/>
    </xf>
    <xf numFmtId="9" fontId="29" fillId="12" borderId="43" xfId="6" applyFont="1" applyFill="1" applyBorder="1" applyAlignment="1">
      <alignment horizontal="center" vertical="center"/>
    </xf>
    <xf numFmtId="168" fontId="16" fillId="12" borderId="43" xfId="1" applyFill="1">
      <alignment horizontal="center" vertical="center"/>
    </xf>
    <xf numFmtId="0" fontId="0" fillId="0" borderId="42" xfId="0" applyBorder="1" applyAlignment="1">
      <alignment horizontal="right" vertical="center"/>
    </xf>
    <xf numFmtId="0" fontId="21" fillId="13" borderId="43" xfId="0" applyFont="1" applyFill="1" applyBorder="1" applyAlignment="1">
      <alignment horizontal="left" vertical="center" indent="1"/>
    </xf>
    <xf numFmtId="0" fontId="16" fillId="13" borderId="43" xfId="5" applyFill="1">
      <alignment horizontal="center" vertical="center"/>
    </xf>
    <xf numFmtId="9" fontId="29" fillId="13" borderId="43" xfId="6" applyFont="1" applyFill="1" applyBorder="1" applyAlignment="1">
      <alignment horizontal="center" vertical="center"/>
    </xf>
    <xf numFmtId="168" fontId="0" fillId="13" borderId="43" xfId="0" applyNumberFormat="1" applyFill="1" applyBorder="1" applyAlignment="1">
      <alignment horizontal="center" vertical="center"/>
    </xf>
    <xf numFmtId="168" fontId="29" fillId="13" borderId="43" xfId="0" applyNumberFormat="1" applyFont="1" applyFill="1" applyBorder="1" applyAlignment="1">
      <alignment horizontal="center" vertical="center"/>
    </xf>
    <xf numFmtId="0" fontId="16" fillId="14" borderId="43" xfId="7" applyFill="1">
      <alignment horizontal="left" vertical="center" indent="2"/>
    </xf>
    <xf numFmtId="0" fontId="16" fillId="14" borderId="43" xfId="5" applyFill="1">
      <alignment horizontal="center" vertical="center"/>
    </xf>
    <xf numFmtId="9" fontId="29" fillId="14" borderId="43" xfId="6" applyFont="1" applyFill="1" applyBorder="1" applyAlignment="1">
      <alignment horizontal="center" vertical="center"/>
    </xf>
    <xf numFmtId="168" fontId="16" fillId="14" borderId="43" xfId="1" applyFill="1">
      <alignment horizontal="center" vertical="center"/>
    </xf>
    <xf numFmtId="0" fontId="21" fillId="15" borderId="43" xfId="0" applyFont="1" applyFill="1" applyBorder="1" applyAlignment="1">
      <alignment horizontal="left" vertical="center" indent="1"/>
    </xf>
    <xf numFmtId="0" fontId="16" fillId="15" borderId="43" xfId="5" applyFill="1">
      <alignment horizontal="center" vertical="center"/>
    </xf>
    <xf numFmtId="9" fontId="29" fillId="15" borderId="43" xfId="6" applyFont="1" applyFill="1" applyBorder="1" applyAlignment="1">
      <alignment horizontal="center" vertical="center"/>
    </xf>
    <xf numFmtId="168" fontId="0" fillId="15" borderId="43" xfId="0" applyNumberFormat="1" applyFill="1" applyBorder="1" applyAlignment="1">
      <alignment horizontal="center" vertical="center"/>
    </xf>
    <xf numFmtId="168" fontId="29" fillId="15" borderId="43" xfId="0" applyNumberFormat="1" applyFont="1" applyFill="1" applyBorder="1" applyAlignment="1">
      <alignment horizontal="center" vertical="center"/>
    </xf>
    <xf numFmtId="0" fontId="16" fillId="16" borderId="43" xfId="7" applyFill="1">
      <alignment horizontal="left" vertical="center" indent="2"/>
    </xf>
    <xf numFmtId="0" fontId="16" fillId="16" borderId="43" xfId="5" applyFill="1">
      <alignment horizontal="center" vertical="center"/>
    </xf>
    <xf numFmtId="9" fontId="29" fillId="16" borderId="43" xfId="6" applyFont="1" applyFill="1" applyBorder="1" applyAlignment="1">
      <alignment horizontal="center" vertical="center"/>
    </xf>
    <xf numFmtId="168" fontId="16" fillId="16" borderId="43" xfId="1" applyFill="1">
      <alignment horizontal="center" vertical="center"/>
    </xf>
    <xf numFmtId="0" fontId="21" fillId="17" borderId="43" xfId="0" applyFont="1" applyFill="1" applyBorder="1" applyAlignment="1">
      <alignment horizontal="left" vertical="center" indent="1"/>
    </xf>
    <xf numFmtId="0" fontId="16" fillId="17" borderId="43" xfId="5" applyFill="1">
      <alignment horizontal="center" vertical="center"/>
    </xf>
    <xf numFmtId="9" fontId="29" fillId="17" borderId="43" xfId="6" applyFont="1" applyFill="1" applyBorder="1" applyAlignment="1">
      <alignment horizontal="center" vertical="center"/>
    </xf>
    <xf numFmtId="168" fontId="0" fillId="17" borderId="43" xfId="0" applyNumberFormat="1" applyFill="1" applyBorder="1" applyAlignment="1">
      <alignment horizontal="center" vertical="center"/>
    </xf>
    <xf numFmtId="168" fontId="29" fillId="17" borderId="43" xfId="0" applyNumberFormat="1" applyFont="1" applyFill="1" applyBorder="1" applyAlignment="1">
      <alignment horizontal="center" vertical="center"/>
    </xf>
    <xf numFmtId="0" fontId="16" fillId="18" borderId="43" xfId="7" applyFill="1">
      <alignment horizontal="left" vertical="center" indent="2"/>
    </xf>
    <xf numFmtId="0" fontId="16" fillId="18" borderId="43" xfId="5" applyFill="1">
      <alignment horizontal="center" vertical="center"/>
    </xf>
    <xf numFmtId="9" fontId="29" fillId="18" borderId="43" xfId="6" applyFont="1" applyFill="1" applyBorder="1" applyAlignment="1">
      <alignment horizontal="center" vertical="center"/>
    </xf>
    <xf numFmtId="168" fontId="16" fillId="18" borderId="43" xfId="1" applyFill="1">
      <alignment horizontal="center" vertical="center"/>
    </xf>
    <xf numFmtId="0" fontId="16" fillId="0" borderId="43" xfId="7">
      <alignment horizontal="left" vertical="center" indent="2"/>
    </xf>
    <xf numFmtId="0" fontId="16" fillId="0" borderId="43" xfId="5">
      <alignment horizontal="center" vertical="center"/>
    </xf>
    <xf numFmtId="9" fontId="29" fillId="0" borderId="43" xfId="6" applyFont="1" applyBorder="1" applyAlignment="1">
      <alignment horizontal="center" vertical="center"/>
    </xf>
    <xf numFmtId="168" fontId="16" fillId="0" borderId="43" xfId="1">
      <alignment horizontal="center" vertical="center"/>
    </xf>
    <xf numFmtId="0" fontId="30" fillId="19" borderId="43" xfId="0" applyFont="1" applyFill="1" applyBorder="1" applyAlignment="1">
      <alignment horizontal="left" vertical="center" indent="1"/>
    </xf>
    <xf numFmtId="0" fontId="30" fillId="19" borderId="43" xfId="0" applyFont="1" applyFill="1" applyBorder="1" applyAlignment="1">
      <alignment horizontal="center" vertical="center"/>
    </xf>
    <xf numFmtId="9" fontId="29" fillId="19" borderId="43" xfId="6" applyFont="1" applyFill="1" applyBorder="1" applyAlignment="1">
      <alignment horizontal="center" vertical="center"/>
    </xf>
    <xf numFmtId="168" fontId="31" fillId="19" borderId="43" xfId="0" applyNumberFormat="1" applyFont="1" applyFill="1" applyBorder="1" applyAlignment="1">
      <alignment horizontal="left" vertical="center"/>
    </xf>
    <xf numFmtId="168" fontId="29" fillId="19" borderId="43" xfId="0" applyNumberFormat="1" applyFont="1" applyFill="1" applyBorder="1" applyAlignment="1">
      <alignment horizontal="center" vertical="center"/>
    </xf>
    <xf numFmtId="0" fontId="29" fillId="19" borderId="43" xfId="0" applyFont="1" applyFill="1" applyBorder="1" applyAlignment="1">
      <alignment horizontal="center" vertical="center"/>
    </xf>
    <xf numFmtId="0" fontId="0" fillId="19" borderId="42" xfId="0" applyFill="1" applyBorder="1" applyAlignment="1">
      <alignment vertical="center"/>
    </xf>
    <xf numFmtId="0" fontId="0" fillId="0" borderId="0" xfId="0" applyAlignment="1">
      <alignment horizontal="right" vertical="center"/>
    </xf>
    <xf numFmtId="0" fontId="32" fillId="0" borderId="0" xfId="0" applyFont="1"/>
    <xf numFmtId="0" fontId="17" fillId="0" borderId="0" xfId="0" applyFont="1" applyAlignment="1">
      <alignment horizontal="center"/>
    </xf>
    <xf numFmtId="0" fontId="33" fillId="0" borderId="0" xfId="2" applyFont="1" applyAlignment="1" applyProtection="1"/>
    <xf numFmtId="0" fontId="19" fillId="0" borderId="21" xfId="9" applyAlignment="1">
      <alignment vertical="top" wrapText="1"/>
    </xf>
    <xf numFmtId="0" fontId="13" fillId="0" borderId="23" xfId="0" applyFont="1" applyBorder="1" applyAlignment="1">
      <alignment horizontal="center" vertical="top" wrapText="1"/>
    </xf>
    <xf numFmtId="0" fontId="6" fillId="0" borderId="0" xfId="0" applyFont="1" applyAlignment="1">
      <alignment horizontal="center"/>
    </xf>
    <xf numFmtId="0" fontId="14" fillId="0" borderId="23" xfId="0" applyFont="1" applyBorder="1" applyAlignment="1">
      <alignment horizontal="center" vertical="center" wrapText="1"/>
    </xf>
    <xf numFmtId="0" fontId="14" fillId="0" borderId="24"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44" xfId="0" applyFont="1" applyBorder="1" applyAlignment="1">
      <alignment horizontal="center" vertical="top" wrapText="1"/>
    </xf>
    <xf numFmtId="164" fontId="13" fillId="0" borderId="23" xfId="4" applyFont="1" applyFill="1" applyBorder="1" applyAlignment="1">
      <alignment vertical="center" wrapText="1"/>
    </xf>
    <xf numFmtId="0" fontId="13" fillId="0" borderId="44" xfId="0" applyFont="1" applyBorder="1" applyAlignment="1">
      <alignment horizontal="center" vertical="center" wrapText="1"/>
    </xf>
    <xf numFmtId="0" fontId="13" fillId="0" borderId="51" xfId="0" applyFont="1" applyBorder="1" applyAlignment="1">
      <alignment horizontal="center" vertical="center" wrapText="1"/>
    </xf>
    <xf numFmtId="0" fontId="13" fillId="0" borderId="26"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23" xfId="0" applyFont="1" applyBorder="1" applyAlignment="1">
      <alignment horizontal="center" vertical="center" wrapText="1"/>
    </xf>
    <xf numFmtId="0" fontId="13" fillId="0" borderId="53" xfId="0" applyFont="1" applyBorder="1" applyAlignment="1">
      <alignment horizontal="center" vertical="center" wrapText="1"/>
    </xf>
    <xf numFmtId="0" fontId="13" fillId="0" borderId="24" xfId="0" applyFont="1" applyBorder="1" applyAlignment="1">
      <alignment horizontal="center" vertical="center" wrapText="1"/>
    </xf>
    <xf numFmtId="0" fontId="13" fillId="0" borderId="24" xfId="0" applyFont="1" applyBorder="1" applyAlignment="1">
      <alignment horizontal="center" vertical="top" wrapText="1"/>
    </xf>
    <xf numFmtId="164" fontId="13" fillId="0" borderId="24" xfId="4" applyFont="1" applyFill="1" applyBorder="1" applyAlignment="1">
      <alignment vertical="center" wrapText="1"/>
    </xf>
    <xf numFmtId="0" fontId="5" fillId="5" borderId="7" xfId="0" applyFont="1" applyFill="1" applyBorder="1" applyAlignment="1">
      <alignment vertical="center"/>
    </xf>
    <xf numFmtId="0" fontId="14" fillId="0" borderId="26" xfId="0" applyFont="1" applyBorder="1" applyAlignment="1">
      <alignment horizontal="center" vertical="center" wrapText="1"/>
    </xf>
    <xf numFmtId="0" fontId="13" fillId="0" borderId="52" xfId="0" applyFont="1" applyBorder="1" applyAlignment="1">
      <alignment horizontal="center" vertical="center" wrapText="1"/>
    </xf>
    <xf numFmtId="164" fontId="13" fillId="0" borderId="1" xfId="4" applyFont="1" applyFill="1" applyBorder="1" applyAlignment="1">
      <alignment vertical="center" wrapText="1"/>
    </xf>
    <xf numFmtId="0" fontId="13" fillId="0" borderId="60" xfId="0" applyFont="1" applyBorder="1" applyAlignment="1">
      <alignment horizontal="center" vertical="center" wrapText="1"/>
    </xf>
    <xf numFmtId="14" fontId="13" fillId="0" borderId="26" xfId="0" applyNumberFormat="1" applyFont="1" applyBorder="1" applyAlignment="1">
      <alignment horizontal="center" vertical="center" wrapText="1"/>
    </xf>
    <xf numFmtId="0" fontId="13" fillId="0" borderId="26" xfId="0" applyFont="1" applyBorder="1" applyAlignment="1">
      <alignment horizontal="center" vertical="top" wrapText="1"/>
    </xf>
    <xf numFmtId="164" fontId="13" fillId="0" borderId="26" xfId="4" applyFont="1" applyFill="1" applyBorder="1" applyAlignment="1">
      <alignment vertical="center" wrapText="1"/>
    </xf>
    <xf numFmtId="0" fontId="35" fillId="0" borderId="46" xfId="0" applyFont="1" applyBorder="1" applyAlignment="1">
      <alignment horizontal="left" vertical="center" wrapText="1"/>
    </xf>
    <xf numFmtId="0" fontId="35" fillId="0" borderId="45" xfId="0" applyFont="1" applyBorder="1" applyAlignment="1">
      <alignment horizontal="left" vertical="center" wrapText="1"/>
    </xf>
    <xf numFmtId="0" fontId="13" fillId="0" borderId="45" xfId="0" applyFont="1" applyBorder="1" applyAlignment="1">
      <alignment horizontal="left" vertical="top" wrapText="1"/>
    </xf>
    <xf numFmtId="0" fontId="2" fillId="0" borderId="54" xfId="0" applyFont="1" applyBorder="1"/>
    <xf numFmtId="0" fontId="2" fillId="0" borderId="1" xfId="0" applyFont="1" applyBorder="1"/>
    <xf numFmtId="0" fontId="37" fillId="0" borderId="64" xfId="0" applyFont="1" applyBorder="1" applyAlignment="1">
      <alignment vertical="center"/>
    </xf>
    <xf numFmtId="0" fontId="2" fillId="0" borderId="66" xfId="0" applyFont="1" applyBorder="1"/>
    <xf numFmtId="0" fontId="13" fillId="0" borderId="62" xfId="0" applyFont="1" applyBorder="1" applyAlignment="1">
      <alignment horizontal="center" vertical="center" wrapText="1"/>
    </xf>
    <xf numFmtId="0" fontId="13" fillId="0" borderId="69" xfId="0" applyFont="1" applyBorder="1" applyAlignment="1">
      <alignment horizontal="center" vertical="center" wrapText="1"/>
    </xf>
    <xf numFmtId="164" fontId="13" fillId="0" borderId="52" xfId="4" applyFont="1" applyFill="1" applyBorder="1" applyAlignment="1">
      <alignment vertical="center" wrapText="1"/>
    </xf>
    <xf numFmtId="0" fontId="2" fillId="0" borderId="70" xfId="0" applyFont="1" applyBorder="1"/>
    <xf numFmtId="0" fontId="5" fillId="5" borderId="71" xfId="0" applyFont="1" applyFill="1" applyBorder="1" applyAlignment="1">
      <alignment vertical="center"/>
    </xf>
    <xf numFmtId="0" fontId="34" fillId="5" borderId="7" xfId="0" applyFont="1" applyFill="1" applyBorder="1" applyAlignment="1">
      <alignment horizontal="center" vertical="center" wrapText="1"/>
    </xf>
    <xf numFmtId="0" fontId="34" fillId="5" borderId="16" xfId="0" applyFont="1" applyFill="1" applyBorder="1" applyAlignment="1">
      <alignment horizontal="center" vertical="center" wrapText="1"/>
    </xf>
    <xf numFmtId="0" fontId="34" fillId="5" borderId="56" xfId="0" applyFont="1" applyFill="1" applyBorder="1" applyAlignment="1">
      <alignment horizontal="center" vertical="center" wrapText="1"/>
    </xf>
    <xf numFmtId="0" fontId="34" fillId="5" borderId="72" xfId="0" applyFont="1" applyFill="1" applyBorder="1" applyAlignment="1">
      <alignment horizontal="center" vertical="center" wrapText="1"/>
    </xf>
    <xf numFmtId="0" fontId="34" fillId="5" borderId="73" xfId="0" applyFont="1" applyFill="1" applyBorder="1" applyAlignment="1">
      <alignment horizontal="center" vertical="center" wrapText="1"/>
    </xf>
    <xf numFmtId="0" fontId="34" fillId="5" borderId="74" xfId="0" applyFont="1" applyFill="1" applyBorder="1" applyAlignment="1">
      <alignment horizontal="center" vertical="center" wrapText="1"/>
    </xf>
    <xf numFmtId="0" fontId="34" fillId="5" borderId="16" xfId="0" applyFont="1" applyFill="1" applyBorder="1" applyAlignment="1">
      <alignment horizontal="left" vertical="center" wrapText="1"/>
    </xf>
    <xf numFmtId="0" fontId="5" fillId="5" borderId="73" xfId="0" applyFont="1" applyFill="1" applyBorder="1" applyAlignment="1">
      <alignment vertical="center"/>
    </xf>
    <xf numFmtId="0" fontId="34" fillId="5" borderId="74" xfId="0" applyFont="1" applyFill="1" applyBorder="1" applyAlignment="1">
      <alignment horizontal="left" vertical="center" wrapText="1"/>
    </xf>
    <xf numFmtId="0" fontId="13" fillId="0" borderId="53" xfId="0" applyFont="1" applyBorder="1" applyAlignment="1">
      <alignment horizontal="center" vertical="top" wrapText="1"/>
    </xf>
    <xf numFmtId="0" fontId="13" fillId="0" borderId="54" xfId="0" applyFont="1" applyBorder="1" applyAlignment="1">
      <alignment horizontal="left" vertical="top" wrapText="1"/>
    </xf>
    <xf numFmtId="0" fontId="13" fillId="0" borderId="51" xfId="0" applyFont="1" applyBorder="1" applyAlignment="1">
      <alignment horizontal="center" vertical="top" wrapText="1"/>
    </xf>
    <xf numFmtId="0" fontId="13" fillId="0" borderId="46" xfId="0" applyFont="1" applyBorder="1" applyAlignment="1">
      <alignment horizontal="left" vertical="top" wrapText="1"/>
    </xf>
    <xf numFmtId="0" fontId="35" fillId="5" borderId="7" xfId="0" applyFont="1" applyFill="1" applyBorder="1" applyAlignment="1">
      <alignment horizontal="center" vertical="center" wrapText="1"/>
    </xf>
    <xf numFmtId="0" fontId="35" fillId="5" borderId="71" xfId="0" applyFont="1" applyFill="1" applyBorder="1" applyAlignment="1">
      <alignment horizontal="left" vertical="center" wrapText="1"/>
    </xf>
    <xf numFmtId="0" fontId="35" fillId="5" borderId="56" xfId="0" applyFont="1" applyFill="1" applyBorder="1" applyAlignment="1">
      <alignment horizontal="center" vertical="center" wrapText="1"/>
    </xf>
    <xf numFmtId="0" fontId="35" fillId="5" borderId="72" xfId="0" applyFont="1" applyFill="1" applyBorder="1" applyAlignment="1">
      <alignment horizontal="center" vertical="center" wrapText="1"/>
    </xf>
    <xf numFmtId="0" fontId="35" fillId="5" borderId="73" xfId="0" applyFont="1" applyFill="1" applyBorder="1" applyAlignment="1">
      <alignment horizontal="center" vertical="center" wrapText="1"/>
    </xf>
    <xf numFmtId="164" fontId="35" fillId="5" borderId="73" xfId="4" applyFont="1" applyFill="1" applyBorder="1" applyAlignment="1">
      <alignment horizontal="center" vertical="center" wrapText="1"/>
    </xf>
    <xf numFmtId="0" fontId="35" fillId="5" borderId="74" xfId="0" applyFont="1" applyFill="1" applyBorder="1" applyAlignment="1">
      <alignment horizontal="left" vertical="center" wrapText="1"/>
    </xf>
    <xf numFmtId="0" fontId="2" fillId="0" borderId="24" xfId="0" applyFont="1" applyBorder="1" applyAlignment="1">
      <alignment horizontal="center" vertical="center" wrapText="1"/>
    </xf>
    <xf numFmtId="0" fontId="35" fillId="0" borderId="54" xfId="0" applyFont="1" applyBorder="1" applyAlignment="1">
      <alignment horizontal="left" vertical="center" wrapText="1"/>
    </xf>
    <xf numFmtId="0" fontId="14" fillId="0" borderId="25" xfId="0" applyFont="1" applyBorder="1" applyAlignment="1">
      <alignment horizontal="center" vertical="center" wrapText="1"/>
    </xf>
    <xf numFmtId="0" fontId="35" fillId="5" borderId="76" xfId="0" applyFont="1" applyFill="1" applyBorder="1" applyAlignment="1">
      <alignment horizontal="center" vertical="center" wrapText="1"/>
    </xf>
    <xf numFmtId="0" fontId="35" fillId="5" borderId="77" xfId="0" applyFont="1" applyFill="1" applyBorder="1" applyAlignment="1">
      <alignment horizontal="center" vertical="center" wrapText="1"/>
    </xf>
    <xf numFmtId="0" fontId="35" fillId="5" borderId="78" xfId="0" applyFont="1" applyFill="1" applyBorder="1" applyAlignment="1">
      <alignment horizontal="left" vertical="center" wrapText="1"/>
    </xf>
    <xf numFmtId="0" fontId="2" fillId="0" borderId="26" xfId="0" applyFont="1" applyBorder="1" applyAlignment="1">
      <alignment horizontal="center" vertical="top" wrapText="1"/>
    </xf>
    <xf numFmtId="0" fontId="2" fillId="0" borderId="25" xfId="0" applyFont="1" applyBorder="1" applyAlignment="1">
      <alignment horizontal="center" vertical="center" wrapText="1"/>
    </xf>
    <xf numFmtId="0" fontId="13" fillId="5" borderId="72" xfId="0" applyFont="1" applyFill="1" applyBorder="1" applyAlignment="1">
      <alignment horizontal="center" vertical="center" wrapText="1"/>
    </xf>
    <xf numFmtId="0" fontId="13" fillId="0" borderId="81" xfId="0" applyFont="1" applyBorder="1" applyAlignment="1">
      <alignment horizontal="center" vertical="center" wrapText="1"/>
    </xf>
    <xf numFmtId="164" fontId="13" fillId="0" borderId="60" xfId="4" applyFont="1" applyFill="1" applyBorder="1" applyAlignment="1">
      <alignment vertical="center" wrapText="1"/>
    </xf>
    <xf numFmtId="0" fontId="2" fillId="0" borderId="82" xfId="0" applyFont="1" applyBorder="1"/>
    <xf numFmtId="0" fontId="13" fillId="5" borderId="83" xfId="0" applyFont="1" applyFill="1" applyBorder="1" applyAlignment="1">
      <alignment horizontal="center" vertical="center" wrapText="1"/>
    </xf>
    <xf numFmtId="0" fontId="13" fillId="5" borderId="56" xfId="0" applyFont="1" applyFill="1" applyBorder="1" applyAlignment="1">
      <alignment horizontal="center" vertical="center" wrapText="1"/>
    </xf>
    <xf numFmtId="0" fontId="2" fillId="5" borderId="84" xfId="0" applyFont="1" applyFill="1" applyBorder="1"/>
    <xf numFmtId="0" fontId="0" fillId="0" borderId="0" xfId="0" applyAlignment="1">
      <alignment horizontal="left" vertical="center"/>
    </xf>
    <xf numFmtId="0" fontId="37" fillId="0" borderId="75" xfId="0" applyFont="1" applyBorder="1" applyAlignment="1">
      <alignment vertical="center"/>
    </xf>
    <xf numFmtId="0" fontId="37" fillId="0" borderId="65" xfId="0" applyFont="1" applyBorder="1" applyAlignment="1">
      <alignment vertical="center"/>
    </xf>
    <xf numFmtId="0" fontId="38" fillId="0" borderId="60" xfId="0" applyFont="1" applyBorder="1" applyAlignment="1">
      <alignment horizontal="center" vertical="center" wrapText="1"/>
    </xf>
    <xf numFmtId="0" fontId="38" fillId="0" borderId="1" xfId="0" applyFont="1" applyBorder="1" applyAlignment="1">
      <alignment horizontal="center" vertical="center" wrapText="1"/>
    </xf>
    <xf numFmtId="0" fontId="13" fillId="0" borderId="58" xfId="0" applyFont="1" applyBorder="1" applyAlignment="1">
      <alignment horizontal="center" vertical="center" wrapText="1"/>
    </xf>
    <xf numFmtId="0" fontId="13" fillId="0" borderId="57" xfId="0" applyFont="1" applyBorder="1" applyAlignment="1">
      <alignment horizontal="center" vertical="center" wrapText="1"/>
    </xf>
    <xf numFmtId="0" fontId="13" fillId="0" borderId="59" xfId="0" applyFont="1" applyBorder="1" applyAlignment="1">
      <alignment horizontal="center" vertical="center" wrapText="1"/>
    </xf>
    <xf numFmtId="0" fontId="38" fillId="0" borderId="58" xfId="0" applyFont="1" applyBorder="1" applyAlignment="1">
      <alignment horizontal="center" vertical="center" wrapText="1"/>
    </xf>
    <xf numFmtId="0" fontId="38" fillId="0" borderId="57" xfId="0" applyFont="1" applyBorder="1" applyAlignment="1">
      <alignment horizontal="center" vertical="center" wrapText="1"/>
    </xf>
    <xf numFmtId="164" fontId="34" fillId="20" borderId="77" xfId="0" applyNumberFormat="1" applyFont="1" applyFill="1" applyBorder="1" applyAlignment="1">
      <alignment horizontal="center" vertical="center" wrapText="1"/>
    </xf>
    <xf numFmtId="164" fontId="35" fillId="20" borderId="73" xfId="4" applyFont="1" applyFill="1" applyBorder="1" applyAlignment="1">
      <alignment horizontal="center" vertical="center" wrapText="1"/>
    </xf>
    <xf numFmtId="164" fontId="35" fillId="20" borderId="77" xfId="4" applyFont="1" applyFill="1" applyBorder="1" applyAlignment="1">
      <alignment horizontal="center" vertical="center" wrapText="1"/>
    </xf>
    <xf numFmtId="164" fontId="13" fillId="20" borderId="56" xfId="4" applyFont="1" applyFill="1" applyBorder="1" applyAlignment="1">
      <alignment vertical="center" wrapText="1"/>
    </xf>
    <xf numFmtId="164" fontId="35" fillId="5" borderId="12" xfId="4" applyFont="1" applyFill="1" applyBorder="1" applyAlignment="1">
      <alignment vertical="center" wrapText="1"/>
    </xf>
    <xf numFmtId="164" fontId="13" fillId="20" borderId="1" xfId="4" applyFont="1" applyFill="1" applyBorder="1" applyAlignment="1">
      <alignment vertical="center" wrapText="1"/>
    </xf>
    <xf numFmtId="0" fontId="2" fillId="0" borderId="0" xfId="0" applyFont="1" applyAlignment="1">
      <alignment horizontal="left" vertical="center" wrapText="1"/>
    </xf>
    <xf numFmtId="0" fontId="35" fillId="0" borderId="0" xfId="0" applyFont="1" applyAlignment="1">
      <alignment horizontal="left" vertical="center"/>
    </xf>
    <xf numFmtId="0" fontId="39" fillId="0" borderId="0" xfId="0" applyFont="1" applyAlignment="1">
      <alignment horizontal="left" vertical="center"/>
    </xf>
    <xf numFmtId="0" fontId="15" fillId="0" borderId="1" xfId="0" applyFont="1" applyBorder="1" applyAlignment="1">
      <alignment horizontal="center" vertical="center" wrapText="1"/>
    </xf>
    <xf numFmtId="0" fontId="15" fillId="0" borderId="1" xfId="0" applyFont="1" applyBorder="1" applyAlignment="1">
      <alignment horizontal="center" vertical="top" wrapText="1"/>
    </xf>
    <xf numFmtId="0" fontId="14" fillId="0" borderId="1" xfId="0" applyFont="1" applyBorder="1" applyAlignment="1">
      <alignment horizontal="center" vertical="top" wrapText="1"/>
    </xf>
    <xf numFmtId="0" fontId="14" fillId="0" borderId="1" xfId="0" applyFont="1" applyBorder="1" applyAlignment="1">
      <alignment horizontal="center" vertical="center" wrapText="1"/>
    </xf>
    <xf numFmtId="0" fontId="14" fillId="0" borderId="1" xfId="0" applyFont="1" applyBorder="1" applyAlignment="1">
      <alignment horizontal="center"/>
    </xf>
    <xf numFmtId="0" fontId="41" fillId="0" borderId="1" xfId="0" applyFont="1" applyBorder="1" applyAlignment="1">
      <alignment vertical="center"/>
    </xf>
    <xf numFmtId="0" fontId="15" fillId="0" borderId="60" xfId="0" applyFont="1" applyBorder="1" applyAlignment="1">
      <alignment horizontal="center" vertical="top" wrapText="1"/>
    </xf>
    <xf numFmtId="0" fontId="2" fillId="0" borderId="0" xfId="0" applyFont="1"/>
    <xf numFmtId="0" fontId="15" fillId="0" borderId="87" xfId="0" applyFont="1" applyBorder="1" applyAlignment="1">
      <alignment horizontal="center" vertical="center" wrapText="1"/>
    </xf>
    <xf numFmtId="0" fontId="2" fillId="6" borderId="82" xfId="0" applyFont="1" applyFill="1" applyBorder="1" applyAlignment="1">
      <alignment horizontal="center" vertical="center"/>
    </xf>
    <xf numFmtId="0" fontId="15" fillId="0" borderId="2" xfId="0" applyFont="1" applyBorder="1" applyAlignment="1">
      <alignment horizontal="center" vertical="center" wrapText="1"/>
    </xf>
    <xf numFmtId="0" fontId="2" fillId="6" borderId="66" xfId="0" applyFont="1" applyFill="1" applyBorder="1" applyAlignment="1">
      <alignment horizontal="center" vertical="center"/>
    </xf>
    <xf numFmtId="164" fontId="15" fillId="6" borderId="66" xfId="0" applyNumberFormat="1" applyFont="1" applyFill="1" applyBorder="1" applyAlignment="1">
      <alignment horizontal="center" vertical="center" wrapText="1"/>
    </xf>
    <xf numFmtId="0" fontId="2" fillId="0" borderId="2" xfId="0" applyFont="1" applyBorder="1" applyAlignment="1">
      <alignment horizontal="center" vertical="top" wrapText="1"/>
    </xf>
    <xf numFmtId="164" fontId="15" fillId="6" borderId="66" xfId="4" applyFont="1" applyFill="1" applyBorder="1" applyAlignment="1">
      <alignment horizontal="center" vertical="center" wrapText="1"/>
    </xf>
    <xf numFmtId="0" fontId="2" fillId="0" borderId="66" xfId="0" applyFont="1" applyBorder="1" applyAlignment="1">
      <alignment horizontal="center" vertical="center"/>
    </xf>
    <xf numFmtId="0" fontId="14" fillId="0" borderId="60" xfId="0" applyFont="1" applyBorder="1" applyAlignment="1">
      <alignment horizontal="center" vertical="center" wrapText="1"/>
    </xf>
    <xf numFmtId="0" fontId="14" fillId="0" borderId="51" xfId="0" applyFont="1" applyBorder="1" applyAlignment="1">
      <alignment horizontal="center" vertical="center" wrapText="1"/>
    </xf>
    <xf numFmtId="0" fontId="14" fillId="0" borderId="53" xfId="0" applyFont="1" applyBorder="1" applyAlignment="1">
      <alignment horizontal="center" vertical="center" wrapText="1"/>
    </xf>
    <xf numFmtId="0" fontId="14" fillId="0" borderId="51" xfId="0" applyFont="1" applyBorder="1" applyAlignment="1">
      <alignment horizontal="center" vertical="top" wrapText="1"/>
    </xf>
    <xf numFmtId="0" fontId="14" fillId="0" borderId="44" xfId="0" applyFont="1" applyBorder="1" applyAlignment="1">
      <alignment horizontal="center" vertical="top" wrapText="1"/>
    </xf>
    <xf numFmtId="0" fontId="14" fillId="0" borderId="48" xfId="0" applyFont="1" applyBorder="1" applyAlignment="1">
      <alignment horizontal="center"/>
    </xf>
    <xf numFmtId="0" fontId="14" fillId="0" borderId="2" xfId="0" applyFont="1" applyBorder="1" applyAlignment="1">
      <alignment horizontal="center" vertical="top" wrapText="1"/>
    </xf>
    <xf numFmtId="0" fontId="14" fillId="0" borderId="2" xfId="0" applyFont="1" applyBorder="1" applyAlignment="1">
      <alignment horizontal="center" vertical="center" wrapText="1"/>
    </xf>
    <xf numFmtId="0" fontId="14" fillId="0" borderId="2" xfId="0" applyFont="1" applyBorder="1" applyAlignment="1">
      <alignment horizontal="center"/>
    </xf>
    <xf numFmtId="0" fontId="14" fillId="0" borderId="47" xfId="0" applyFont="1" applyBorder="1" applyAlignment="1">
      <alignment horizontal="center"/>
    </xf>
    <xf numFmtId="0" fontId="14" fillId="0" borderId="48" xfId="0" applyFont="1" applyBorder="1" applyAlignment="1">
      <alignment horizontal="center" vertical="center" wrapText="1"/>
    </xf>
    <xf numFmtId="0" fontId="15" fillId="0" borderId="48" xfId="0" applyFont="1" applyBorder="1" applyAlignment="1">
      <alignment horizontal="center" vertical="top" wrapText="1"/>
    </xf>
    <xf numFmtId="0" fontId="2" fillId="0" borderId="88" xfId="0" applyFont="1" applyBorder="1" applyAlignment="1">
      <alignment horizontal="center" vertical="center"/>
    </xf>
    <xf numFmtId="0" fontId="14" fillId="0" borderId="50" xfId="0" applyFont="1" applyBorder="1" applyAlignment="1">
      <alignment horizontal="center" vertical="center" wrapText="1"/>
    </xf>
    <xf numFmtId="0" fontId="14" fillId="0" borderId="86" xfId="0" applyFont="1" applyBorder="1" applyAlignment="1">
      <alignment horizontal="center" vertical="top" wrapText="1"/>
    </xf>
    <xf numFmtId="0" fontId="14" fillId="0" borderId="89" xfId="0" applyFont="1" applyBorder="1" applyAlignment="1">
      <alignment horizontal="center" vertical="top" wrapText="1"/>
    </xf>
    <xf numFmtId="0" fontId="14" fillId="0" borderId="50" xfId="0" applyFont="1" applyBorder="1" applyAlignment="1">
      <alignment horizontal="center" vertical="top" wrapText="1"/>
    </xf>
    <xf numFmtId="14" fontId="40" fillId="0" borderId="85" xfId="0" applyNumberFormat="1" applyFont="1" applyBorder="1" applyAlignment="1">
      <alignment horizontal="center" vertical="center" wrapText="1"/>
    </xf>
    <xf numFmtId="14" fontId="14" fillId="0" borderId="89" xfId="0" applyNumberFormat="1" applyFont="1" applyBorder="1" applyAlignment="1">
      <alignment horizontal="center" vertical="center" wrapText="1"/>
    </xf>
    <xf numFmtId="0" fontId="14" fillId="0" borderId="49" xfId="0" applyFont="1" applyBorder="1" applyAlignment="1">
      <alignment horizontal="center" vertical="top" wrapText="1"/>
    </xf>
    <xf numFmtId="169" fontId="35" fillId="7" borderId="11" xfId="4" applyNumberFormat="1" applyFont="1" applyFill="1" applyBorder="1" applyAlignment="1">
      <alignment vertical="center" wrapText="1"/>
    </xf>
    <xf numFmtId="0" fontId="42" fillId="21" borderId="55" xfId="0" applyFont="1" applyFill="1" applyBorder="1" applyAlignment="1">
      <alignment horizontal="center" vertical="center" wrapText="1"/>
    </xf>
    <xf numFmtId="0" fontId="42" fillId="21" borderId="56" xfId="0" applyFont="1" applyFill="1" applyBorder="1" applyAlignment="1">
      <alignment horizontal="center" vertical="center" wrapText="1"/>
    </xf>
    <xf numFmtId="0" fontId="42" fillId="21" borderId="8" xfId="0" applyFont="1" applyFill="1" applyBorder="1" applyAlignment="1">
      <alignment horizontal="center" vertical="center" wrapText="1"/>
    </xf>
    <xf numFmtId="0" fontId="13" fillId="5" borderId="77" xfId="0" applyFont="1" applyFill="1" applyBorder="1" applyAlignment="1">
      <alignment horizontal="center" vertical="center" wrapText="1"/>
    </xf>
    <xf numFmtId="0" fontId="13" fillId="0" borderId="25" xfId="0" applyFont="1" applyBorder="1" applyAlignment="1">
      <alignment horizontal="center" vertical="center" wrapText="1"/>
    </xf>
    <xf numFmtId="0" fontId="13" fillId="5" borderId="73" xfId="0" applyFont="1" applyFill="1" applyBorder="1" applyAlignment="1">
      <alignment horizontal="center" vertical="center" wrapText="1"/>
    </xf>
    <xf numFmtId="0" fontId="36" fillId="0" borderId="26" xfId="0" applyFont="1" applyBorder="1" applyAlignment="1">
      <alignment horizontal="center" vertical="center" wrapText="1"/>
    </xf>
    <xf numFmtId="0" fontId="38" fillId="0" borderId="52" xfId="0" applyFont="1" applyBorder="1" applyAlignment="1">
      <alignment horizontal="center" vertical="center"/>
    </xf>
    <xf numFmtId="0" fontId="2" fillId="0" borderId="24" xfId="0" applyFont="1" applyBorder="1" applyAlignment="1">
      <alignment horizontal="center" vertical="center"/>
    </xf>
    <xf numFmtId="0" fontId="35" fillId="5" borderId="56" xfId="0" applyFont="1" applyFill="1" applyBorder="1" applyAlignment="1">
      <alignment horizontal="center" vertical="center"/>
    </xf>
    <xf numFmtId="0" fontId="2" fillId="5" borderId="56" xfId="0" applyFont="1" applyFill="1" applyBorder="1" applyAlignment="1">
      <alignment horizontal="center" vertical="center"/>
    </xf>
    <xf numFmtId="0" fontId="38" fillId="0" borderId="60" xfId="0" applyFont="1" applyBorder="1" applyAlignment="1">
      <alignment horizontal="center" vertical="center"/>
    </xf>
    <xf numFmtId="0" fontId="2" fillId="0" borderId="60" xfId="0" applyFont="1" applyBorder="1" applyAlignment="1">
      <alignment horizontal="center" vertical="center"/>
    </xf>
    <xf numFmtId="0" fontId="38" fillId="0" borderId="1" xfId="0" applyFont="1" applyBorder="1" applyAlignment="1">
      <alignment horizontal="center" vertical="center"/>
    </xf>
    <xf numFmtId="0" fontId="2" fillId="0" borderId="61" xfId="0" applyFont="1" applyBorder="1" applyAlignment="1">
      <alignment horizontal="center" vertical="center"/>
    </xf>
    <xf numFmtId="0" fontId="38" fillId="0" borderId="16" xfId="0" applyFont="1" applyBorder="1" applyAlignment="1">
      <alignment vertical="center"/>
    </xf>
    <xf numFmtId="0" fontId="12" fillId="0" borderId="1" xfId="0" applyFont="1" applyBorder="1" applyAlignment="1">
      <alignment horizontal="center" vertical="center"/>
    </xf>
    <xf numFmtId="0" fontId="37" fillId="0" borderId="64" xfId="0" applyFont="1" applyBorder="1" applyAlignment="1">
      <alignment horizontal="left" vertical="center"/>
    </xf>
    <xf numFmtId="0" fontId="37" fillId="0" borderId="65" xfId="0" applyFont="1" applyBorder="1" applyAlignment="1">
      <alignment horizontal="left" vertical="center"/>
    </xf>
    <xf numFmtId="0" fontId="37" fillId="0" borderId="75" xfId="0" applyFont="1" applyBorder="1" applyAlignment="1">
      <alignment horizontal="left" vertical="center"/>
    </xf>
    <xf numFmtId="0" fontId="37" fillId="0" borderId="75" xfId="0" applyFont="1" applyBorder="1" applyAlignment="1">
      <alignment horizontal="left" vertical="center" wrapText="1" shrinkToFit="1"/>
    </xf>
    <xf numFmtId="0" fontId="37" fillId="0" borderId="75" xfId="0" applyFont="1" applyBorder="1" applyAlignment="1">
      <alignment horizontal="left" vertical="center" wrapText="1"/>
    </xf>
    <xf numFmtId="0" fontId="35" fillId="5" borderId="71" xfId="0" applyFont="1" applyFill="1" applyBorder="1" applyAlignment="1">
      <alignment horizontal="left" vertical="center"/>
    </xf>
    <xf numFmtId="0" fontId="37" fillId="0" borderId="80" xfId="0" applyFont="1" applyBorder="1" applyAlignment="1">
      <alignment horizontal="left" vertical="center"/>
    </xf>
    <xf numFmtId="0" fontId="37" fillId="0" borderId="13" xfId="0" applyFont="1" applyBorder="1" applyAlignment="1">
      <alignment horizontal="left" vertical="center"/>
    </xf>
    <xf numFmtId="0" fontId="37" fillId="0" borderId="68" xfId="0" applyFont="1" applyBorder="1" applyAlignment="1">
      <alignment horizontal="left" vertical="center"/>
    </xf>
    <xf numFmtId="0" fontId="0" fillId="0" borderId="0" xfId="0" applyAlignment="1">
      <alignment horizontal="center" vertical="center"/>
    </xf>
    <xf numFmtId="0" fontId="8" fillId="0" borderId="0" xfId="0" applyFont="1" applyAlignment="1">
      <alignment horizontal="left" vertical="center"/>
    </xf>
    <xf numFmtId="0" fontId="38" fillId="0" borderId="59" xfId="0" applyFont="1" applyBorder="1" applyAlignment="1">
      <alignment horizontal="center" vertical="center"/>
    </xf>
    <xf numFmtId="0" fontId="12" fillId="5" borderId="7" xfId="0" applyFont="1" applyFill="1" applyBorder="1" applyAlignment="1">
      <alignment horizontal="center" vertical="center"/>
    </xf>
    <xf numFmtId="0" fontId="38" fillId="0" borderId="79" xfId="0" applyFont="1" applyBorder="1" applyAlignment="1">
      <alignment horizontal="center" vertical="center"/>
    </xf>
    <xf numFmtId="0" fontId="38" fillId="0" borderId="63" xfId="0" applyFont="1" applyBorder="1" applyAlignment="1">
      <alignment horizontal="center" vertical="center"/>
    </xf>
    <xf numFmtId="0" fontId="38" fillId="0" borderId="67" xfId="0" applyFont="1" applyBorder="1" applyAlignment="1">
      <alignment horizontal="center" vertical="center"/>
    </xf>
    <xf numFmtId="0" fontId="13" fillId="6" borderId="1" xfId="0" applyFont="1" applyFill="1" applyBorder="1" applyAlignment="1">
      <alignment horizontal="center" vertical="center" wrapText="1"/>
    </xf>
    <xf numFmtId="0" fontId="14" fillId="0" borderId="52" xfId="0" applyFont="1" applyBorder="1" applyAlignment="1">
      <alignment horizontal="center" vertical="center" wrapText="1"/>
    </xf>
    <xf numFmtId="0" fontId="14" fillId="6" borderId="1" xfId="0" applyFont="1" applyFill="1" applyBorder="1" applyAlignment="1">
      <alignment horizontal="center" vertical="center" wrapText="1"/>
    </xf>
    <xf numFmtId="0" fontId="43" fillId="0" borderId="26" xfId="0" applyFont="1" applyBorder="1" applyAlignment="1">
      <alignment horizontal="center" vertical="center" wrapText="1"/>
    </xf>
    <xf numFmtId="0" fontId="43" fillId="0" borderId="25" xfId="0" applyFont="1" applyBorder="1" applyAlignment="1">
      <alignment horizontal="center" vertical="center" wrapText="1"/>
    </xf>
    <xf numFmtId="0" fontId="43" fillId="0" borderId="1" xfId="0" applyFont="1" applyBorder="1" applyAlignment="1">
      <alignment horizontal="center" vertical="center" wrapText="1"/>
    </xf>
    <xf numFmtId="0" fontId="44" fillId="5" borderId="73" xfId="0" applyFont="1" applyFill="1" applyBorder="1" applyAlignment="1">
      <alignment horizontal="center" vertical="center" wrapText="1"/>
    </xf>
    <xf numFmtId="0" fontId="44" fillId="5" borderId="91" xfId="0" applyFont="1" applyFill="1" applyBorder="1" applyAlignment="1">
      <alignment horizontal="center" vertical="center" wrapText="1"/>
    </xf>
    <xf numFmtId="0" fontId="44" fillId="5" borderId="8" xfId="0" applyFont="1" applyFill="1" applyBorder="1" applyAlignment="1">
      <alignment horizontal="center" vertical="center" wrapText="1"/>
    </xf>
    <xf numFmtId="0" fontId="43" fillId="0" borderId="92" xfId="0" applyFont="1" applyBorder="1" applyAlignment="1">
      <alignment horizontal="center" vertical="center" wrapText="1"/>
    </xf>
    <xf numFmtId="0" fontId="43" fillId="0" borderId="75" xfId="0" applyFont="1" applyBorder="1" applyAlignment="1">
      <alignment horizontal="center" vertical="center" wrapText="1"/>
    </xf>
    <xf numFmtId="0" fontId="43" fillId="0" borderId="94" xfId="0" applyFont="1" applyBorder="1" applyAlignment="1">
      <alignment horizontal="center" vertical="center" wrapText="1"/>
    </xf>
    <xf numFmtId="0" fontId="43" fillId="22" borderId="47" xfId="0" applyFont="1" applyFill="1" applyBorder="1" applyAlignment="1">
      <alignment horizontal="center" vertical="center"/>
    </xf>
    <xf numFmtId="0" fontId="39" fillId="22" borderId="88" xfId="0" applyFont="1" applyFill="1" applyBorder="1" applyAlignment="1">
      <alignment horizontal="center"/>
    </xf>
    <xf numFmtId="0" fontId="43" fillId="0" borderId="46" xfId="0" applyFont="1" applyBorder="1" applyAlignment="1">
      <alignment horizontal="center" vertical="center" wrapText="1"/>
    </xf>
    <xf numFmtId="0" fontId="43" fillId="0" borderId="93" xfId="0" applyFont="1" applyBorder="1" applyAlignment="1">
      <alignment horizontal="center" vertical="center" wrapText="1"/>
    </xf>
    <xf numFmtId="0" fontId="43" fillId="0" borderId="95" xfId="0" applyFont="1" applyBorder="1" applyAlignment="1">
      <alignment horizontal="center" vertical="center" wrapText="1"/>
    </xf>
    <xf numFmtId="0" fontId="35" fillId="26" borderId="1" xfId="0" applyFont="1" applyFill="1" applyBorder="1"/>
    <xf numFmtId="0" fontId="45" fillId="6" borderId="0" xfId="0" applyFont="1" applyFill="1"/>
    <xf numFmtId="0" fontId="0" fillId="6" borderId="0" xfId="0" applyFill="1"/>
    <xf numFmtId="0" fontId="13" fillId="6" borderId="0" xfId="0" applyFont="1" applyFill="1"/>
    <xf numFmtId="0" fontId="49" fillId="26" borderId="1" xfId="0" applyFont="1" applyFill="1" applyBorder="1" applyAlignment="1">
      <alignment horizontal="center" wrapText="1"/>
    </xf>
    <xf numFmtId="0" fontId="5" fillId="26" borderId="1" xfId="0" applyFont="1" applyFill="1" applyBorder="1"/>
    <xf numFmtId="0" fontId="0" fillId="27" borderId="55" xfId="0" applyFill="1" applyBorder="1"/>
    <xf numFmtId="0" fontId="0" fillId="27" borderId="56" xfId="0" applyFill="1" applyBorder="1"/>
    <xf numFmtId="0" fontId="0" fillId="27" borderId="84" xfId="0" applyFill="1" applyBorder="1"/>
    <xf numFmtId="0" fontId="0" fillId="0" borderId="1" xfId="0" applyBorder="1" applyAlignment="1">
      <alignment horizontal="center" vertical="center"/>
    </xf>
    <xf numFmtId="0" fontId="0" fillId="0" borderId="1" xfId="0" applyBorder="1" applyAlignment="1">
      <alignment horizontal="center"/>
    </xf>
    <xf numFmtId="0" fontId="0" fillId="0" borderId="98" xfId="0" applyBorder="1"/>
    <xf numFmtId="0" fontId="0" fillId="0" borderId="99" xfId="0" applyBorder="1"/>
    <xf numFmtId="0" fontId="2" fillId="0" borderId="99" xfId="0" applyFont="1" applyBorder="1"/>
    <xf numFmtId="0" fontId="0" fillId="0" borderId="100" xfId="0" applyBorder="1"/>
    <xf numFmtId="0" fontId="0" fillId="0" borderId="101" xfId="0" applyBorder="1"/>
    <xf numFmtId="0" fontId="0" fillId="0" borderId="61" xfId="0" applyBorder="1"/>
    <xf numFmtId="0" fontId="2" fillId="0" borderId="61" xfId="0" applyFont="1" applyBorder="1"/>
    <xf numFmtId="0" fontId="0" fillId="0" borderId="102" xfId="0" applyBorder="1"/>
    <xf numFmtId="0" fontId="0" fillId="0" borderId="103" xfId="0" applyBorder="1"/>
    <xf numFmtId="0" fontId="0" fillId="0" borderId="104" xfId="0" applyBorder="1"/>
    <xf numFmtId="0" fontId="0" fillId="0" borderId="61" xfId="0" applyBorder="1" applyAlignment="1">
      <alignment vertical="top"/>
    </xf>
    <xf numFmtId="0" fontId="2" fillId="0" borderId="101" xfId="0" applyFont="1" applyBorder="1"/>
    <xf numFmtId="0" fontId="0" fillId="0" borderId="61" xfId="0" applyBorder="1" applyAlignment="1">
      <alignment vertical="center"/>
    </xf>
    <xf numFmtId="0" fontId="2" fillId="0" borderId="104" xfId="0" applyFont="1" applyBorder="1"/>
    <xf numFmtId="0" fontId="35" fillId="26" borderId="1" xfId="0" applyFont="1" applyFill="1" applyBorder="1" applyAlignment="1">
      <alignment wrapText="1"/>
    </xf>
    <xf numFmtId="0" fontId="0" fillId="6" borderId="1" xfId="0" applyFill="1" applyBorder="1" applyAlignment="1">
      <alignment horizontal="center" vertical="center"/>
    </xf>
    <xf numFmtId="0" fontId="0" fillId="6" borderId="1" xfId="0" applyFill="1" applyBorder="1" applyAlignment="1">
      <alignment horizontal="center"/>
    </xf>
    <xf numFmtId="0" fontId="0" fillId="0" borderId="105" xfId="0" applyBorder="1"/>
    <xf numFmtId="0" fontId="0" fillId="0" borderId="106" xfId="0" applyBorder="1"/>
    <xf numFmtId="0" fontId="0" fillId="0" borderId="107" xfId="0" applyBorder="1"/>
    <xf numFmtId="0" fontId="0" fillId="6" borderId="9" xfId="0" applyFill="1" applyBorder="1"/>
    <xf numFmtId="0" fontId="25" fillId="6" borderId="0" xfId="0" applyFont="1" applyFill="1" applyAlignment="1">
      <alignment horizontal="center" vertical="center" wrapText="1"/>
    </xf>
    <xf numFmtId="0" fontId="50" fillId="6" borderId="0" xfId="0" applyFont="1" applyFill="1" applyAlignment="1">
      <alignment horizontal="center" vertical="center" wrapText="1"/>
    </xf>
    <xf numFmtId="0" fontId="51" fillId="6" borderId="0" xfId="0" applyFont="1" applyFill="1" applyAlignment="1">
      <alignment horizontal="center" vertical="center" wrapText="1"/>
    </xf>
    <xf numFmtId="0" fontId="52" fillId="6" borderId="0" xfId="0" applyFont="1" applyFill="1" applyAlignment="1">
      <alignment horizontal="center" vertical="center" wrapText="1"/>
    </xf>
    <xf numFmtId="14" fontId="52" fillId="6" borderId="0" xfId="0" applyNumberFormat="1" applyFont="1" applyFill="1" applyAlignment="1">
      <alignment horizontal="center" vertical="center" wrapText="1"/>
    </xf>
    <xf numFmtId="0" fontId="51" fillId="29" borderId="109" xfId="0" applyFont="1" applyFill="1" applyBorder="1" applyAlignment="1">
      <alignment horizontal="center" vertical="center"/>
    </xf>
    <xf numFmtId="0" fontId="51" fillId="29" borderId="109" xfId="0" applyFont="1" applyFill="1" applyBorder="1" applyAlignment="1">
      <alignment horizontal="center" vertical="center" wrapText="1"/>
    </xf>
    <xf numFmtId="0" fontId="53" fillId="28" borderId="110" xfId="0" applyFont="1" applyFill="1" applyBorder="1" applyAlignment="1">
      <alignment horizontal="center" vertical="center" wrapText="1"/>
    </xf>
    <xf numFmtId="0" fontId="25" fillId="6" borderId="110" xfId="0" applyFont="1" applyFill="1" applyBorder="1" applyAlignment="1">
      <alignment horizontal="center" vertical="center" wrapText="1"/>
    </xf>
    <xf numFmtId="0" fontId="0" fillId="0" borderId="9" xfId="0" applyBorder="1"/>
    <xf numFmtId="0" fontId="0" fillId="0" borderId="0" xfId="0" applyBorder="1"/>
    <xf numFmtId="0" fontId="0" fillId="6" borderId="0" xfId="0" applyFill="1" applyBorder="1"/>
    <xf numFmtId="0" fontId="0" fillId="0" borderId="61" xfId="0" applyBorder="1" applyAlignment="1">
      <alignment horizontal="center"/>
    </xf>
    <xf numFmtId="0" fontId="2" fillId="0" borderId="61" xfId="0" applyFont="1" applyBorder="1" applyAlignment="1">
      <alignment horizontal="center"/>
    </xf>
    <xf numFmtId="16" fontId="34" fillId="5" borderId="72" xfId="0" applyNumberFormat="1" applyFont="1" applyFill="1" applyBorder="1" applyAlignment="1">
      <alignment horizontal="center" vertical="center" wrapText="1"/>
    </xf>
    <xf numFmtId="0" fontId="35" fillId="5" borderId="90" xfId="0" applyFont="1" applyFill="1" applyBorder="1" applyAlignment="1">
      <alignment horizontal="right" vertical="center" wrapText="1"/>
    </xf>
    <xf numFmtId="0" fontId="35" fillId="5" borderId="11" xfId="0" applyFont="1" applyFill="1" applyBorder="1" applyAlignment="1">
      <alignment horizontal="right" vertical="center" wrapText="1"/>
    </xf>
    <xf numFmtId="0" fontId="35" fillId="5" borderId="16" xfId="0" applyFont="1" applyFill="1" applyBorder="1" applyAlignment="1">
      <alignment horizontal="right" vertical="center" wrapText="1"/>
    </xf>
    <xf numFmtId="0" fontId="38" fillId="0" borderId="71" xfId="0" applyFont="1" applyBorder="1" applyAlignment="1">
      <alignment horizontal="center"/>
    </xf>
    <xf numFmtId="0" fontId="38" fillId="0" borderId="16" xfId="0" applyFont="1" applyBorder="1" applyAlignment="1">
      <alignment horizontal="center"/>
    </xf>
    <xf numFmtId="0" fontId="39" fillId="22" borderId="96" xfId="0" applyFont="1" applyFill="1" applyBorder="1" applyAlignment="1">
      <alignment horizontal="right" vertical="center"/>
    </xf>
    <xf numFmtId="0" fontId="39" fillId="22" borderId="97" xfId="0" applyFont="1" applyFill="1" applyBorder="1" applyAlignment="1">
      <alignment horizontal="right" vertical="center"/>
    </xf>
    <xf numFmtId="0" fontId="45" fillId="22" borderId="71" xfId="0" applyFont="1" applyFill="1" applyBorder="1" applyAlignment="1">
      <alignment horizontal="center" vertical="center"/>
    </xf>
    <xf numFmtId="0" fontId="45" fillId="22" borderId="16" xfId="0" applyFont="1" applyFill="1" applyBorder="1" applyAlignment="1">
      <alignment horizontal="center" vertical="center"/>
    </xf>
    <xf numFmtId="0" fontId="45" fillId="22" borderId="8" xfId="0" applyFont="1" applyFill="1" applyBorder="1" applyAlignment="1">
      <alignment horizontal="center" vertical="center"/>
    </xf>
    <xf numFmtId="0" fontId="22" fillId="0" borderId="0" xfId="0" applyFont="1" applyAlignment="1">
      <alignment horizontal="center" vertical="center"/>
    </xf>
    <xf numFmtId="0" fontId="39" fillId="26" borderId="71" xfId="0" applyFont="1" applyFill="1" applyBorder="1" applyAlignment="1">
      <alignment horizontal="center"/>
    </xf>
    <xf numFmtId="0" fontId="39" fillId="26" borderId="16" xfId="0" applyFont="1" applyFill="1" applyBorder="1" applyAlignment="1">
      <alignment horizontal="center"/>
    </xf>
    <xf numFmtId="0" fontId="39" fillId="26" borderId="8" xfId="0" applyFont="1" applyFill="1" applyBorder="1" applyAlignment="1">
      <alignment horizontal="center"/>
    </xf>
    <xf numFmtId="0" fontId="50" fillId="22" borderId="108" xfId="0" applyFont="1" applyFill="1" applyBorder="1" applyAlignment="1">
      <alignment horizontal="center" vertical="center" wrapText="1"/>
    </xf>
    <xf numFmtId="0" fontId="50" fillId="28" borderId="71" xfId="0" applyFont="1" applyFill="1" applyBorder="1" applyAlignment="1">
      <alignment horizontal="center"/>
    </xf>
    <xf numFmtId="0" fontId="50" fillId="28" borderId="16" xfId="0" applyFont="1" applyFill="1" applyBorder="1" applyAlignment="1">
      <alignment horizontal="center"/>
    </xf>
    <xf numFmtId="0" fontId="50" fillId="28" borderId="8" xfId="0" applyFont="1" applyFill="1" applyBorder="1" applyAlignment="1">
      <alignment horizontal="center"/>
    </xf>
    <xf numFmtId="0" fontId="25" fillId="28" borderId="71" xfId="0" applyFont="1" applyFill="1" applyBorder="1" applyAlignment="1">
      <alignment horizontal="center"/>
    </xf>
    <xf numFmtId="0" fontId="25" fillId="28" borderId="16" xfId="0" applyFont="1" applyFill="1" applyBorder="1" applyAlignment="1">
      <alignment horizontal="center"/>
    </xf>
    <xf numFmtId="0" fontId="25" fillId="28" borderId="8" xfId="0" applyFont="1" applyFill="1" applyBorder="1" applyAlignment="1">
      <alignment horizontal="center"/>
    </xf>
    <xf numFmtId="166" fontId="0" fillId="8" borderId="36" xfId="0" applyNumberFormat="1" applyFill="1" applyBorder="1" applyAlignment="1">
      <alignment horizontal="left" vertical="center" wrapText="1" indent="1"/>
    </xf>
    <xf numFmtId="166" fontId="0" fillId="8" borderId="37" xfId="0" applyNumberFormat="1" applyFill="1" applyBorder="1" applyAlignment="1">
      <alignment horizontal="left" vertical="center" wrapText="1" indent="1"/>
    </xf>
    <xf numFmtId="166" fontId="0" fillId="8" borderId="38" xfId="0" applyNumberFormat="1" applyFill="1" applyBorder="1" applyAlignment="1">
      <alignment horizontal="left" vertical="center" wrapText="1" indent="1"/>
    </xf>
    <xf numFmtId="0" fontId="20" fillId="0" borderId="22" xfId="10" applyAlignment="1">
      <alignment horizontal="right" indent="1"/>
    </xf>
    <xf numFmtId="0" fontId="20" fillId="0" borderId="34" xfId="10" applyBorder="1" applyAlignment="1">
      <alignment horizontal="right" indent="1"/>
    </xf>
    <xf numFmtId="165" fontId="16" fillId="0" borderId="35" xfId="3">
      <alignment horizontal="center" vertical="center"/>
    </xf>
    <xf numFmtId="0" fontId="4" fillId="4" borderId="13" xfId="0" applyFont="1" applyFill="1" applyBorder="1" applyAlignment="1">
      <alignment horizontal="center" vertical="center" wrapText="1"/>
    </xf>
    <xf numFmtId="0" fontId="0" fillId="0" borderId="14" xfId="0" applyBorder="1"/>
    <xf numFmtId="0" fontId="0" fillId="0" borderId="15" xfId="0" applyBorder="1"/>
    <xf numFmtId="0" fontId="10" fillId="3" borderId="16" xfId="0" applyFont="1" applyFill="1" applyBorder="1" applyAlignment="1">
      <alignment horizontal="center" vertical="center" wrapText="1"/>
    </xf>
    <xf numFmtId="0" fontId="10" fillId="3" borderId="17" xfId="0" applyFont="1" applyFill="1" applyBorder="1" applyAlignment="1">
      <alignment horizontal="center" vertical="center" wrapText="1"/>
    </xf>
    <xf numFmtId="0" fontId="6" fillId="0" borderId="18" xfId="0" applyFont="1" applyBorder="1" applyAlignment="1">
      <alignment horizontal="center" wrapText="1"/>
    </xf>
    <xf numFmtId="0" fontId="0" fillId="0" borderId="19" xfId="0" applyBorder="1"/>
    <xf numFmtId="0" fontId="0" fillId="0" borderId="20" xfId="0" applyBorder="1"/>
    <xf numFmtId="0" fontId="6" fillId="0" borderId="18" xfId="0" applyFont="1" applyBorder="1" applyAlignment="1">
      <alignment horizontal="center"/>
    </xf>
    <xf numFmtId="0" fontId="4" fillId="4" borderId="13" xfId="0" quotePrefix="1" applyFont="1" applyFill="1" applyBorder="1" applyAlignment="1">
      <alignment horizontal="center" vertical="center" wrapText="1"/>
    </xf>
    <xf numFmtId="0" fontId="39" fillId="30" borderId="71" xfId="0" applyFont="1" applyFill="1" applyBorder="1" applyAlignment="1">
      <alignment horizontal="center" vertical="center"/>
    </xf>
    <xf numFmtId="0" fontId="39" fillId="30" borderId="16" xfId="0" applyFont="1" applyFill="1" applyBorder="1" applyAlignment="1">
      <alignment horizontal="center" vertical="center"/>
    </xf>
    <xf numFmtId="0" fontId="55" fillId="0" borderId="0" xfId="0" applyFont="1" applyAlignment="1">
      <alignment vertical="center"/>
    </xf>
    <xf numFmtId="0" fontId="57" fillId="0" borderId="0" xfId="0" applyFont="1" applyAlignment="1">
      <alignment vertical="center"/>
    </xf>
    <xf numFmtId="0" fontId="55" fillId="31" borderId="7" xfId="0" applyFont="1" applyFill="1" applyBorder="1" applyAlignment="1">
      <alignment horizontal="center" vertical="center" wrapText="1"/>
    </xf>
    <xf numFmtId="0" fontId="55" fillId="31" borderId="8" xfId="0" applyFont="1" applyFill="1" applyBorder="1" applyAlignment="1">
      <alignment horizontal="center" vertical="center" wrapText="1"/>
    </xf>
    <xf numFmtId="0" fontId="59" fillId="31" borderId="71" xfId="0" applyFont="1" applyFill="1" applyBorder="1" applyAlignment="1">
      <alignment horizontal="center" vertical="center"/>
    </xf>
    <xf numFmtId="0" fontId="59" fillId="31" borderId="16" xfId="0" applyFont="1" applyFill="1" applyBorder="1" applyAlignment="1">
      <alignment horizontal="center" vertical="center"/>
    </xf>
    <xf numFmtId="0" fontId="59" fillId="31" borderId="111" xfId="0" applyFont="1" applyFill="1" applyBorder="1" applyAlignment="1">
      <alignment horizontal="center" vertical="center"/>
    </xf>
    <xf numFmtId="0" fontId="57" fillId="0" borderId="112" xfId="0" applyFont="1" applyBorder="1" applyAlignment="1">
      <alignment vertical="center" wrapText="1"/>
    </xf>
    <xf numFmtId="0" fontId="57" fillId="0" borderId="0" xfId="0" applyFont="1" applyAlignment="1">
      <alignment vertical="center" wrapText="1"/>
    </xf>
    <xf numFmtId="0" fontId="55" fillId="0" borderId="12" xfId="0" applyFont="1" applyBorder="1" applyAlignment="1">
      <alignment horizontal="center" vertical="center" wrapText="1"/>
    </xf>
    <xf numFmtId="0" fontId="57" fillId="0" borderId="12" xfId="0" applyFont="1" applyBorder="1" applyAlignment="1">
      <alignment horizontal="center" vertical="center" wrapText="1"/>
    </xf>
    <xf numFmtId="0" fontId="39" fillId="30" borderId="11" xfId="0" applyFont="1" applyFill="1" applyBorder="1" applyAlignment="1">
      <alignment horizontal="center" vertical="center"/>
    </xf>
    <xf numFmtId="0" fontId="39" fillId="30" borderId="111" xfId="0" applyFont="1" applyFill="1" applyBorder="1" applyAlignment="1">
      <alignment horizontal="center" vertical="center"/>
    </xf>
    <xf numFmtId="0" fontId="60" fillId="30" borderId="0" xfId="0" applyFont="1" applyFill="1" applyAlignment="1">
      <alignment horizontal="center" vertical="center"/>
    </xf>
    <xf numFmtId="0" fontId="2" fillId="30" borderId="0" xfId="0" applyFont="1" applyFill="1" applyAlignment="1">
      <alignment horizontal="center" vertical="center"/>
    </xf>
    <xf numFmtId="0" fontId="2" fillId="30" borderId="9" xfId="0" applyFont="1" applyFill="1" applyBorder="1" applyAlignment="1">
      <alignment horizontal="center" vertical="center"/>
    </xf>
    <xf numFmtId="0" fontId="2" fillId="30" borderId="16" xfId="0" applyFont="1" applyFill="1" applyBorder="1" applyAlignment="1">
      <alignment horizontal="center" vertical="center"/>
    </xf>
    <xf numFmtId="0" fontId="2" fillId="30" borderId="0" xfId="0" applyFont="1" applyFill="1" applyAlignment="1">
      <alignment horizontal="center" vertical="center"/>
    </xf>
    <xf numFmtId="0" fontId="5" fillId="32" borderId="113" xfId="0" applyFont="1" applyFill="1" applyBorder="1" applyAlignment="1">
      <alignment horizontal="center" vertical="center" wrapText="1"/>
    </xf>
    <xf numFmtId="0" fontId="5" fillId="32" borderId="114" xfId="0" applyFont="1" applyFill="1" applyBorder="1" applyAlignment="1">
      <alignment horizontal="center" vertical="center" wrapText="1"/>
    </xf>
    <xf numFmtId="0" fontId="5" fillId="32" borderId="115" xfId="0" applyFont="1" applyFill="1" applyBorder="1" applyAlignment="1">
      <alignment horizontal="center" vertical="center" wrapText="1"/>
    </xf>
    <xf numFmtId="0" fontId="5" fillId="32" borderId="114" xfId="0" applyFont="1" applyFill="1" applyBorder="1" applyAlignment="1">
      <alignment horizontal="center" vertical="center" wrapText="1"/>
    </xf>
    <xf numFmtId="0" fontId="5" fillId="32" borderId="71" xfId="0" applyFont="1" applyFill="1" applyBorder="1" applyAlignment="1">
      <alignment horizontal="center" vertical="center" wrapText="1"/>
    </xf>
    <xf numFmtId="0" fontId="5" fillId="32" borderId="16" xfId="0" applyFont="1" applyFill="1" applyBorder="1" applyAlignment="1">
      <alignment horizontal="center" vertical="center" wrapText="1"/>
    </xf>
    <xf numFmtId="0" fontId="5" fillId="32" borderId="8" xfId="0" applyFont="1" applyFill="1" applyBorder="1" applyAlignment="1">
      <alignment horizontal="center" vertical="center" wrapText="1"/>
    </xf>
    <xf numFmtId="0" fontId="5" fillId="32" borderId="116" xfId="0" applyFont="1" applyFill="1" applyBorder="1" applyAlignment="1">
      <alignment horizontal="center" vertical="center" wrapText="1"/>
    </xf>
    <xf numFmtId="0" fontId="57" fillId="0" borderId="0" xfId="0" applyFont="1" applyAlignment="1">
      <alignment vertical="center" wrapText="1"/>
    </xf>
    <xf numFmtId="0" fontId="61" fillId="30" borderId="117" xfId="0" applyFont="1" applyFill="1" applyBorder="1" applyAlignment="1">
      <alignment horizontal="center" vertical="center" wrapText="1"/>
    </xf>
    <xf numFmtId="0" fontId="61" fillId="30" borderId="12" xfId="0" applyFont="1" applyFill="1" applyBorder="1" applyAlignment="1">
      <alignment horizontal="center" vertical="center" wrapText="1"/>
    </xf>
    <xf numFmtId="0" fontId="61" fillId="30" borderId="71" xfId="0" applyFont="1" applyFill="1" applyBorder="1" applyAlignment="1">
      <alignment horizontal="center" vertical="center" wrapText="1"/>
    </xf>
    <xf numFmtId="0" fontId="61" fillId="30" borderId="8" xfId="0" applyFont="1" applyFill="1" applyBorder="1" applyAlignment="1">
      <alignment horizontal="center" vertical="center" wrapText="1"/>
    </xf>
    <xf numFmtId="0" fontId="61" fillId="30" borderId="16" xfId="0" applyFont="1" applyFill="1" applyBorder="1" applyAlignment="1">
      <alignment horizontal="center" vertical="center" wrapText="1"/>
    </xf>
    <xf numFmtId="0" fontId="61" fillId="30" borderId="17" xfId="0" applyFont="1" applyFill="1" applyBorder="1" applyAlignment="1">
      <alignment horizontal="center" vertical="center" wrapText="1"/>
    </xf>
    <xf numFmtId="0" fontId="62" fillId="30" borderId="12" xfId="0" applyFont="1" applyFill="1" applyBorder="1" applyAlignment="1">
      <alignment horizontal="center" vertical="center" wrapText="1"/>
    </xf>
    <xf numFmtId="0" fontId="5" fillId="32" borderId="111" xfId="0" applyFont="1" applyFill="1" applyBorder="1" applyAlignment="1">
      <alignment horizontal="center" vertical="center" wrapText="1"/>
    </xf>
    <xf numFmtId="0" fontId="5" fillId="32" borderId="118" xfId="0" applyFont="1" applyFill="1" applyBorder="1" applyAlignment="1">
      <alignment horizontal="center" vertical="center" wrapText="1"/>
    </xf>
    <xf numFmtId="0" fontId="63" fillId="30" borderId="71" xfId="0" applyFont="1" applyFill="1" applyBorder="1" applyAlignment="1">
      <alignment vertical="center" wrapText="1"/>
    </xf>
    <xf numFmtId="0" fontId="63" fillId="30" borderId="16" xfId="0" applyFont="1" applyFill="1" applyBorder="1" applyAlignment="1">
      <alignment vertical="center" wrapText="1"/>
    </xf>
    <xf numFmtId="0" fontId="63" fillId="30" borderId="111" xfId="0" applyFont="1" applyFill="1" applyBorder="1" applyAlignment="1">
      <alignment vertical="center" wrapText="1"/>
    </xf>
    <xf numFmtId="0" fontId="2" fillId="30" borderId="119" xfId="0" applyFont="1" applyFill="1" applyBorder="1" applyAlignment="1">
      <alignment vertical="center"/>
    </xf>
    <xf numFmtId="0" fontId="2" fillId="30" borderId="9" xfId="0" applyFont="1" applyFill="1" applyBorder="1" applyAlignment="1">
      <alignment vertical="center"/>
    </xf>
    <xf numFmtId="0" fontId="2" fillId="30" borderId="0" xfId="0" applyFont="1" applyFill="1" applyAlignment="1">
      <alignment vertical="center"/>
    </xf>
    <xf numFmtId="0" fontId="2" fillId="30" borderId="0" xfId="0" applyFont="1" applyFill="1" applyAlignment="1">
      <alignment vertical="center"/>
    </xf>
    <xf numFmtId="0" fontId="66" fillId="0" borderId="0" xfId="0" applyFont="1" applyAlignment="1">
      <alignment vertical="center"/>
    </xf>
    <xf numFmtId="0" fontId="0" fillId="0" borderId="0" xfId="0" applyAlignment="1">
      <alignment horizontal="left" vertical="center" indent="1"/>
    </xf>
    <xf numFmtId="0" fontId="66" fillId="0" borderId="0" xfId="0" applyFont="1" applyAlignment="1">
      <alignment horizontal="left" vertical="center" indent="1"/>
    </xf>
    <xf numFmtId="0" fontId="67" fillId="0" borderId="0" xfId="0" applyFont="1"/>
    <xf numFmtId="0" fontId="2" fillId="0" borderId="0" xfId="12"/>
    <xf numFmtId="0" fontId="4" fillId="0" borderId="0" xfId="12" applyFont="1" applyAlignment="1">
      <alignment vertical="center"/>
    </xf>
    <xf numFmtId="0" fontId="68" fillId="2" borderId="5" xfId="12" applyFont="1" applyFill="1" applyBorder="1" applyAlignment="1">
      <alignment horizontal="centerContinuous"/>
    </xf>
    <xf numFmtId="0" fontId="68" fillId="2" borderId="0" xfId="12" applyFont="1" applyFill="1" applyAlignment="1">
      <alignment horizontal="centerContinuous"/>
    </xf>
    <xf numFmtId="0" fontId="69" fillId="0" borderId="0" xfId="12" applyFont="1"/>
    <xf numFmtId="0" fontId="70" fillId="0" borderId="0" xfId="12" applyFont="1"/>
    <xf numFmtId="0" fontId="5" fillId="0" borderId="0" xfId="12" applyFont="1"/>
    <xf numFmtId="0" fontId="5" fillId="0" borderId="0" xfId="12" applyFont="1" applyAlignment="1">
      <alignment horizontal="right"/>
    </xf>
    <xf numFmtId="0" fontId="2" fillId="33" borderId="3" xfId="12" applyFill="1" applyBorder="1"/>
    <xf numFmtId="0" fontId="2" fillId="33" borderId="19" xfId="12" applyFill="1" applyBorder="1"/>
    <xf numFmtId="0" fontId="2" fillId="33" borderId="10" xfId="12" applyFill="1" applyBorder="1"/>
    <xf numFmtId="0" fontId="71" fillId="2" borderId="0" xfId="12" applyFont="1" applyFill="1"/>
    <xf numFmtId="0" fontId="2" fillId="2" borderId="0" xfId="12" applyFill="1"/>
    <xf numFmtId="0" fontId="68" fillId="2" borderId="0" xfId="12" applyFont="1" applyFill="1" applyAlignment="1">
      <alignment horizontal="right"/>
    </xf>
    <xf numFmtId="0" fontId="2" fillId="33" borderId="2" xfId="12" applyFill="1" applyBorder="1"/>
    <xf numFmtId="0" fontId="2" fillId="33" borderId="62" xfId="12" applyFill="1" applyBorder="1"/>
    <xf numFmtId="0" fontId="2" fillId="33" borderId="120" xfId="12" applyFill="1" applyBorder="1"/>
    <xf numFmtId="0" fontId="2" fillId="34" borderId="2" xfId="12" applyFill="1" applyBorder="1"/>
    <xf numFmtId="0" fontId="2" fillId="34" borderId="62" xfId="12" applyFill="1" applyBorder="1"/>
    <xf numFmtId="0" fontId="2" fillId="35" borderId="120" xfId="12" applyFill="1" applyBorder="1"/>
    <xf numFmtId="0" fontId="5" fillId="36" borderId="2" xfId="12" applyFont="1" applyFill="1" applyBorder="1"/>
    <xf numFmtId="0" fontId="2" fillId="36" borderId="62" xfId="12" applyFill="1" applyBorder="1"/>
    <xf numFmtId="0" fontId="2" fillId="36" borderId="15" xfId="12" applyFill="1" applyBorder="1"/>
    <xf numFmtId="0" fontId="72" fillId="37" borderId="47" xfId="12" applyFont="1" applyFill="1" applyBorder="1"/>
    <xf numFmtId="0" fontId="72" fillId="37" borderId="121" xfId="12" applyFont="1" applyFill="1" applyBorder="1"/>
    <xf numFmtId="0" fontId="2" fillId="37" borderId="122" xfId="12" applyFill="1" applyBorder="1"/>
    <xf numFmtId="0" fontId="68" fillId="2" borderId="123" xfId="12" applyFont="1" applyFill="1" applyBorder="1" applyAlignment="1">
      <alignment horizontal="centerContinuous"/>
    </xf>
    <xf numFmtId="0" fontId="71" fillId="2" borderId="123" xfId="12" applyFont="1" applyFill="1" applyBorder="1" applyAlignment="1">
      <alignment horizontal="centerContinuous"/>
    </xf>
    <xf numFmtId="0" fontId="71" fillId="2" borderId="124" xfId="12" applyFont="1" applyFill="1" applyBorder="1" applyAlignment="1">
      <alignment horizontal="centerContinuous"/>
    </xf>
    <xf numFmtId="0" fontId="71" fillId="2" borderId="10" xfId="12" applyFont="1" applyFill="1" applyBorder="1"/>
    <xf numFmtId="0" fontId="14" fillId="33" borderId="55" xfId="12" applyFont="1" applyFill="1" applyBorder="1" applyAlignment="1">
      <alignment textRotation="90" wrapText="1"/>
    </xf>
    <xf numFmtId="0" fontId="14" fillId="33" borderId="56" xfId="12" applyFont="1" applyFill="1" applyBorder="1" applyAlignment="1">
      <alignment textRotation="90"/>
    </xf>
    <xf numFmtId="0" fontId="2" fillId="33" borderId="56" xfId="12" applyFill="1" applyBorder="1" applyAlignment="1">
      <alignment textRotation="90"/>
    </xf>
    <xf numFmtId="0" fontId="2" fillId="33" borderId="84" xfId="12" applyFill="1" applyBorder="1" applyAlignment="1">
      <alignment textRotation="90"/>
    </xf>
    <xf numFmtId="0" fontId="2" fillId="0" borderId="0" xfId="12" applyAlignment="1">
      <alignment textRotation="90"/>
    </xf>
    <xf numFmtId="0" fontId="14" fillId="33" borderId="18" xfId="12" applyFont="1" applyFill="1" applyBorder="1" applyAlignment="1">
      <alignment horizontal="left"/>
    </xf>
    <xf numFmtId="0" fontId="14" fillId="33" borderId="19" xfId="12" applyFont="1" applyFill="1" applyBorder="1" applyAlignment="1">
      <alignment horizontal="left"/>
    </xf>
    <xf numFmtId="0" fontId="14" fillId="33" borderId="20" xfId="12" applyFont="1" applyFill="1" applyBorder="1" applyAlignment="1">
      <alignment horizontal="left"/>
    </xf>
    <xf numFmtId="0" fontId="73" fillId="36" borderId="2" xfId="12" applyFont="1" applyFill="1" applyBorder="1" applyAlignment="1">
      <alignment horizontal="center"/>
    </xf>
    <xf numFmtId="0" fontId="73" fillId="36" borderId="1" xfId="12" applyFont="1" applyFill="1" applyBorder="1" applyAlignment="1">
      <alignment horizontal="center"/>
    </xf>
    <xf numFmtId="0" fontId="73" fillId="38" borderId="1" xfId="12" applyFont="1" applyFill="1" applyBorder="1" applyAlignment="1">
      <alignment horizontal="center"/>
    </xf>
    <xf numFmtId="0" fontId="73" fillId="35" borderId="1" xfId="12" applyFont="1" applyFill="1" applyBorder="1" applyAlignment="1">
      <alignment horizontal="center"/>
    </xf>
    <xf numFmtId="0" fontId="73" fillId="39" borderId="1" xfId="12" applyFont="1" applyFill="1" applyBorder="1" applyAlignment="1">
      <alignment horizontal="center"/>
    </xf>
    <xf numFmtId="0" fontId="54" fillId="0" borderId="125" xfId="12" applyFont="1" applyBorder="1" applyAlignment="1">
      <alignment horizontal="center"/>
    </xf>
    <xf numFmtId="0" fontId="14" fillId="33" borderId="13" xfId="12" applyFont="1" applyFill="1" applyBorder="1" applyAlignment="1">
      <alignment horizontal="left"/>
    </xf>
    <xf numFmtId="0" fontId="14" fillId="33" borderId="14" xfId="12" applyFont="1" applyFill="1" applyBorder="1" applyAlignment="1">
      <alignment horizontal="left"/>
    </xf>
    <xf numFmtId="0" fontId="14" fillId="33" borderId="15" xfId="12" applyFont="1" applyFill="1" applyBorder="1" applyAlignment="1">
      <alignment horizontal="left"/>
    </xf>
    <xf numFmtId="0" fontId="54" fillId="0" borderId="66" xfId="12" applyFont="1" applyBorder="1" applyAlignment="1">
      <alignment horizontal="center"/>
    </xf>
    <xf numFmtId="0" fontId="74" fillId="0" borderId="0" xfId="12" applyFont="1"/>
    <xf numFmtId="0" fontId="2" fillId="0" borderId="0" xfId="12" applyAlignment="1">
      <alignment horizontal="center"/>
    </xf>
    <xf numFmtId="0" fontId="2" fillId="0" borderId="0" xfId="12" applyFont="1"/>
    <xf numFmtId="0" fontId="72" fillId="31" borderId="55" xfId="12" applyFont="1" applyFill="1" applyBorder="1" applyAlignment="1">
      <alignment horizontal="center"/>
    </xf>
    <xf numFmtId="0" fontId="72" fillId="31" borderId="56" xfId="12" applyFont="1" applyFill="1" applyBorder="1" applyAlignment="1">
      <alignment horizontal="center"/>
    </xf>
    <xf numFmtId="0" fontId="72" fillId="31" borderId="84" xfId="12" applyFont="1" applyFill="1" applyBorder="1" applyAlignment="1">
      <alignment horizontal="center"/>
    </xf>
    <xf numFmtId="0" fontId="10" fillId="31" borderId="113" xfId="12" applyFont="1" applyFill="1" applyBorder="1" applyAlignment="1">
      <alignment horizontal="left" vertical="center" wrapText="1" indent="1"/>
    </xf>
    <xf numFmtId="0" fontId="10" fillId="31" borderId="71" xfId="12" applyFont="1" applyFill="1" applyBorder="1" applyAlignment="1">
      <alignment horizontal="center" vertical="center" wrapText="1"/>
    </xf>
    <xf numFmtId="0" fontId="75" fillId="6" borderId="56" xfId="12" applyFont="1" applyFill="1" applyBorder="1" applyAlignment="1">
      <alignment horizontal="center"/>
    </xf>
    <xf numFmtId="0" fontId="76" fillId="0" borderId="1" xfId="12" applyFont="1" applyBorder="1" applyAlignment="1">
      <alignment horizontal="left" vertical="center" wrapText="1" indent="1"/>
    </xf>
    <xf numFmtId="0" fontId="29" fillId="0" borderId="1" xfId="12" applyFont="1" applyBorder="1" applyAlignment="1">
      <alignment horizontal="left" vertical="center" wrapText="1"/>
    </xf>
    <xf numFmtId="0" fontId="25" fillId="6" borderId="1" xfId="12" applyFont="1" applyFill="1" applyBorder="1" applyAlignment="1">
      <alignment horizontal="center" vertical="center"/>
    </xf>
    <xf numFmtId="0" fontId="25" fillId="0" borderId="1" xfId="12" applyFont="1" applyBorder="1" applyAlignment="1">
      <alignment horizontal="center" vertical="center"/>
    </xf>
    <xf numFmtId="0" fontId="77" fillId="31" borderId="55" xfId="12" applyFont="1" applyFill="1" applyBorder="1" applyAlignment="1">
      <alignment horizontal="center"/>
    </xf>
    <xf numFmtId="0" fontId="77" fillId="31" borderId="84" xfId="12" applyFont="1" applyFill="1" applyBorder="1" applyAlignment="1">
      <alignment horizontal="center"/>
    </xf>
    <xf numFmtId="0" fontId="78" fillId="0" borderId="126" xfId="0" applyFont="1" applyBorder="1" applyAlignment="1">
      <alignment horizontal="center" vertical="center" wrapText="1"/>
    </xf>
    <xf numFmtId="0" fontId="79" fillId="0" borderId="12" xfId="0" applyFont="1" applyBorder="1" applyAlignment="1">
      <alignment horizontal="center" vertical="center" wrapText="1"/>
    </xf>
    <xf numFmtId="0" fontId="78" fillId="0" borderId="12" xfId="0" applyFont="1" applyBorder="1" applyAlignment="1">
      <alignment horizontal="center" vertical="center" wrapText="1"/>
    </xf>
  </cellXfs>
  <cellStyles count="21">
    <cellStyle name="40% - Ênfase3 2" xfId="18" xr:uid="{2E1732D0-21A5-4FD5-A0FA-58950CD24079}"/>
    <cellStyle name="Data" xfId="1" xr:uid="{00000000-0005-0000-0000-000000000000}"/>
    <cellStyle name="Ênfase1 2" xfId="15" xr:uid="{BCDBC982-B276-447C-AA36-7BFFA994747A}"/>
    <cellStyle name="Ênfase2 2" xfId="17" xr:uid="{1F3BBD3C-EEE0-4C82-92A8-17D876527163}"/>
    <cellStyle name="Hiperlink" xfId="2" builtinId="8"/>
    <cellStyle name="Hiperlink 2" xfId="14" xr:uid="{0B5709AF-CB5E-4D1F-89FF-80FDEDCEA8EB}"/>
    <cellStyle name="Início do Projeto" xfId="3" xr:uid="{00000000-0005-0000-0000-000002000000}"/>
    <cellStyle name="Moeda" xfId="4" builtinId="4"/>
    <cellStyle name="Nome" xfId="5" xr:uid="{00000000-0005-0000-0000-000004000000}"/>
    <cellStyle name="Normal" xfId="0" builtinId="0"/>
    <cellStyle name="Normal 2" xfId="12" xr:uid="{4868D47C-44C3-4B12-8527-CC5A29EA757E}"/>
    <cellStyle name="Normal 3" xfId="16" xr:uid="{90DC9492-8557-4F8B-B218-614291E57F6F}"/>
    <cellStyle name="Normal 3 2 2" xfId="19" xr:uid="{76EDCE1B-A641-485D-ADEB-4C3E0F37A32E}"/>
    <cellStyle name="Porcentagem" xfId="6" builtinId="5"/>
    <cellStyle name="Porcentagem 2" xfId="20" xr:uid="{DD4485E6-46B2-4568-8B1E-DB364132CBAA}"/>
    <cellStyle name="Sheet Title" xfId="13" xr:uid="{389373B7-6F72-40BB-880D-F1BB75AD7E2F}"/>
    <cellStyle name="Tarefa" xfId="7" xr:uid="{00000000-0005-0000-0000-000007000000}"/>
    <cellStyle name="Título" xfId="8" builtinId="15"/>
    <cellStyle name="Título 2" xfId="9" builtinId="17"/>
    <cellStyle name="Título 3" xfId="10" builtinId="18"/>
    <cellStyle name="zTextoOculto" xfId="11" xr:uid="{00000000-0005-0000-0000-00000B000000}"/>
  </cellStyles>
  <dxfs count="3">
    <dxf>
      <fill>
        <patternFill>
          <bgColor theme="7"/>
        </patternFill>
      </fill>
      <border>
        <left/>
        <right/>
      </border>
    </dxf>
    <dxf>
      <fill>
        <patternFill>
          <bgColor theme="0" tint="-0.34998626667073579"/>
        </patternFill>
      </fill>
    </dxf>
    <dxf>
      <border>
        <left style="thin">
          <color rgb="FFC00000"/>
        </left>
        <right style="thin">
          <color rgb="FFC00000"/>
        </right>
      </border>
    </dxf>
  </dxfs>
  <tableStyles count="0" defaultTableStyle="TableStyleMedium9" defaultPivotStyle="PivotStyleLight16"/>
  <colors>
    <mruColors>
      <color rgb="FFA679E7"/>
      <color rgb="FFDCCAF6"/>
      <color rgb="FF8961ED"/>
      <color rgb="FFD1D1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0CFB7DD9-0DA5-4E4C-8DA3-9F1B6119F4C6}" type="doc">
      <dgm:prSet loTypeId="urn:microsoft.com/office/officeart/2005/8/layout/orgChart1" loCatId="hierarchy" qsTypeId="urn:microsoft.com/office/officeart/2005/8/quickstyle/simple4" qsCatId="simple" csTypeId="urn:microsoft.com/office/officeart/2005/8/colors/accent1_2" csCatId="accent1" phldr="1"/>
      <dgm:spPr/>
      <dgm:t>
        <a:bodyPr/>
        <a:lstStyle/>
        <a:p>
          <a:endParaRPr lang="pt-BR"/>
        </a:p>
      </dgm:t>
    </dgm:pt>
    <dgm:pt modelId="{0102E4FE-20A8-44CB-9044-37DB2019EEF7}">
      <dgm:prSet phldrT="[Texto]" custT="1"/>
      <dgm:spPr>
        <a:solidFill>
          <a:schemeClr val="tx2"/>
        </a:solidFill>
      </dgm:spPr>
      <dgm:t>
        <a:bodyPr/>
        <a:lstStyle/>
        <a:p>
          <a:endParaRPr lang="pt-BR" sz="1050" b="1"/>
        </a:p>
      </dgm:t>
    </dgm:pt>
    <dgm:pt modelId="{2EDE4DE6-9005-475A-8D27-D82D00EB941C}" type="parTrans" cxnId="{8856D64A-8E4C-492F-98E8-19CF0A0ADB32}">
      <dgm:prSet/>
      <dgm:spPr/>
      <dgm:t>
        <a:bodyPr/>
        <a:lstStyle/>
        <a:p>
          <a:endParaRPr lang="pt-BR"/>
        </a:p>
      </dgm:t>
    </dgm:pt>
    <dgm:pt modelId="{E7C380F8-F032-4E10-986A-DDA7FC09E32D}" type="sibTrans" cxnId="{8856D64A-8E4C-492F-98E8-19CF0A0ADB32}">
      <dgm:prSet/>
      <dgm:spPr/>
      <dgm:t>
        <a:bodyPr/>
        <a:lstStyle/>
        <a:p>
          <a:endParaRPr lang="pt-BR"/>
        </a:p>
      </dgm:t>
    </dgm:pt>
    <dgm:pt modelId="{025397C8-278A-4FB7-A986-A1B487EA1563}">
      <dgm:prSet phldrT="[Texto]"/>
      <dgm:spPr>
        <a:solidFill>
          <a:schemeClr val="accent6">
            <a:lumMod val="75000"/>
          </a:schemeClr>
        </a:solidFill>
      </dgm:spPr>
      <dgm:t>
        <a:bodyPr/>
        <a:lstStyle/>
        <a:p>
          <a:r>
            <a:rPr lang="pt-BR" b="1"/>
            <a:t>INTEGRAÇÃO COM SISTEMAS DE SAÚDE</a:t>
          </a:r>
        </a:p>
      </dgm:t>
    </dgm:pt>
    <dgm:pt modelId="{E9CCBF3B-F7D4-491B-83ED-166AFDD5DD30}" type="parTrans" cxnId="{0A56C6DB-31EB-4084-BBA3-788918B1E116}">
      <dgm:prSet/>
      <dgm:spPr/>
      <dgm:t>
        <a:bodyPr/>
        <a:lstStyle/>
        <a:p>
          <a:endParaRPr lang="pt-BR"/>
        </a:p>
      </dgm:t>
    </dgm:pt>
    <dgm:pt modelId="{03B4767C-E8A0-48F5-82FB-BC0CE0CB73C2}" type="sibTrans" cxnId="{0A56C6DB-31EB-4084-BBA3-788918B1E116}">
      <dgm:prSet/>
      <dgm:spPr/>
      <dgm:t>
        <a:bodyPr/>
        <a:lstStyle/>
        <a:p>
          <a:endParaRPr lang="pt-BR"/>
        </a:p>
      </dgm:t>
    </dgm:pt>
    <dgm:pt modelId="{8BB75C25-BB24-48E5-95A1-BDDD2AD67385}">
      <dgm:prSet phldrT="[Texto]"/>
      <dgm:spPr>
        <a:solidFill>
          <a:schemeClr val="accent6">
            <a:lumMod val="75000"/>
          </a:schemeClr>
        </a:solidFill>
      </dgm:spPr>
      <dgm:t>
        <a:bodyPr/>
        <a:lstStyle/>
        <a:p>
          <a:r>
            <a:rPr lang="pt-BR" b="1"/>
            <a:t>TESTES</a:t>
          </a:r>
        </a:p>
      </dgm:t>
    </dgm:pt>
    <dgm:pt modelId="{3F1B0426-4EA2-44D9-B786-B19B57D5CDEA}" type="parTrans" cxnId="{A458D9FF-02BE-46BB-A088-C5A5D4DCC19A}">
      <dgm:prSet/>
      <dgm:spPr/>
      <dgm:t>
        <a:bodyPr/>
        <a:lstStyle/>
        <a:p>
          <a:endParaRPr lang="pt-BR"/>
        </a:p>
      </dgm:t>
    </dgm:pt>
    <dgm:pt modelId="{287D1434-478B-40C7-839D-02EB6EAF6F1B}" type="sibTrans" cxnId="{A458D9FF-02BE-46BB-A088-C5A5D4DCC19A}">
      <dgm:prSet/>
      <dgm:spPr/>
      <dgm:t>
        <a:bodyPr/>
        <a:lstStyle/>
        <a:p>
          <a:endParaRPr lang="pt-BR"/>
        </a:p>
      </dgm:t>
    </dgm:pt>
    <dgm:pt modelId="{14FC8420-D447-4CEA-A3B7-61E9B3749D8E}">
      <dgm:prSet phldrT="[Texto]"/>
      <dgm:spPr>
        <a:solidFill>
          <a:schemeClr val="accent6">
            <a:lumMod val="75000"/>
          </a:schemeClr>
        </a:solidFill>
      </dgm:spPr>
      <dgm:t>
        <a:bodyPr/>
        <a:lstStyle/>
        <a:p>
          <a:r>
            <a:rPr lang="pt-BR" b="1"/>
            <a:t>EXPANSÃO</a:t>
          </a:r>
        </a:p>
      </dgm:t>
    </dgm:pt>
    <dgm:pt modelId="{EC92CB9E-5DFE-4287-A9E0-4954C06F656B}" type="parTrans" cxnId="{90A22982-35F0-4690-94C9-FC7C7030A57B}">
      <dgm:prSet/>
      <dgm:spPr/>
      <dgm:t>
        <a:bodyPr/>
        <a:lstStyle/>
        <a:p>
          <a:endParaRPr lang="pt-BR"/>
        </a:p>
      </dgm:t>
    </dgm:pt>
    <dgm:pt modelId="{E9188AE6-C38D-49A6-B8A2-AFBE7B3ACBE6}" type="sibTrans" cxnId="{90A22982-35F0-4690-94C9-FC7C7030A57B}">
      <dgm:prSet/>
      <dgm:spPr/>
      <dgm:t>
        <a:bodyPr/>
        <a:lstStyle/>
        <a:p>
          <a:endParaRPr lang="pt-BR"/>
        </a:p>
      </dgm:t>
    </dgm:pt>
    <dgm:pt modelId="{905ED552-0ABB-46DE-A60F-9DB1B7EBD348}">
      <dgm:prSet/>
      <dgm:spPr>
        <a:solidFill>
          <a:schemeClr val="accent6">
            <a:lumMod val="75000"/>
          </a:schemeClr>
        </a:solidFill>
      </dgm:spPr>
      <dgm:t>
        <a:bodyPr/>
        <a:lstStyle/>
        <a:p>
          <a:r>
            <a:rPr lang="pt-BR" b="1"/>
            <a:t>AVALIAÇÃO</a:t>
          </a:r>
        </a:p>
        <a:p>
          <a:r>
            <a:rPr lang="pt-BR" b="1"/>
            <a:t>E APERFEICOAMENTO</a:t>
          </a:r>
        </a:p>
      </dgm:t>
    </dgm:pt>
    <dgm:pt modelId="{C0EE7375-36E6-4281-9237-5F5EEB6505C0}" type="parTrans" cxnId="{81FD159E-5A59-47E9-B060-7B6EB6770B16}">
      <dgm:prSet/>
      <dgm:spPr/>
      <dgm:t>
        <a:bodyPr/>
        <a:lstStyle/>
        <a:p>
          <a:endParaRPr lang="pt-BR"/>
        </a:p>
      </dgm:t>
    </dgm:pt>
    <dgm:pt modelId="{CB9B60C3-837E-4475-B99D-FCE33FAFF27C}" type="sibTrans" cxnId="{81FD159E-5A59-47E9-B060-7B6EB6770B16}">
      <dgm:prSet/>
      <dgm:spPr/>
      <dgm:t>
        <a:bodyPr/>
        <a:lstStyle/>
        <a:p>
          <a:endParaRPr lang="pt-BR"/>
        </a:p>
      </dgm:t>
    </dgm:pt>
    <dgm:pt modelId="{5901CCA6-EF9E-4F05-B532-AFA0A830E4D5}">
      <dgm:prSet/>
      <dgm:spPr>
        <a:solidFill>
          <a:schemeClr val="accent6">
            <a:lumMod val="75000"/>
          </a:schemeClr>
        </a:solidFill>
      </dgm:spPr>
      <dgm:t>
        <a:bodyPr/>
        <a:lstStyle/>
        <a:p>
          <a:r>
            <a:rPr lang="pt-BR" b="1"/>
            <a:t>PÓS-LANÇAMENTO</a:t>
          </a:r>
        </a:p>
      </dgm:t>
    </dgm:pt>
    <dgm:pt modelId="{3AAD358E-6C2A-45F6-8AEA-D2444BC59F19}" type="parTrans" cxnId="{E55DB602-DC2A-4A90-AEBC-D3FA9C19E981}">
      <dgm:prSet/>
      <dgm:spPr/>
      <dgm:t>
        <a:bodyPr/>
        <a:lstStyle/>
        <a:p>
          <a:endParaRPr lang="pt-BR"/>
        </a:p>
      </dgm:t>
    </dgm:pt>
    <dgm:pt modelId="{DA81767C-EE83-44C2-9E22-3E8E99D8403B}" type="sibTrans" cxnId="{E55DB602-DC2A-4A90-AEBC-D3FA9C19E981}">
      <dgm:prSet/>
      <dgm:spPr/>
      <dgm:t>
        <a:bodyPr/>
        <a:lstStyle/>
        <a:p>
          <a:endParaRPr lang="pt-BR"/>
        </a:p>
      </dgm:t>
    </dgm:pt>
    <dgm:pt modelId="{95040E2D-3B14-4838-BEEC-F567F54E210A}">
      <dgm:prSet/>
      <dgm:spPr>
        <a:solidFill>
          <a:schemeClr val="accent6">
            <a:lumMod val="75000"/>
          </a:schemeClr>
        </a:solidFill>
      </dgm:spPr>
      <dgm:t>
        <a:bodyPr/>
        <a:lstStyle/>
        <a:p>
          <a:r>
            <a:rPr lang="pt-BR" b="1"/>
            <a:t>MARKETING </a:t>
          </a:r>
        </a:p>
        <a:p>
          <a:r>
            <a:rPr lang="pt-BR" b="1"/>
            <a:t>E DIVULGAÇÃO</a:t>
          </a:r>
        </a:p>
      </dgm:t>
    </dgm:pt>
    <dgm:pt modelId="{05FE1BD5-3C3C-4969-A364-2530D63BDBD5}" type="parTrans" cxnId="{65E43AF3-D179-485C-9875-A65A828CCE76}">
      <dgm:prSet/>
      <dgm:spPr/>
      <dgm:t>
        <a:bodyPr/>
        <a:lstStyle/>
        <a:p>
          <a:endParaRPr lang="pt-BR"/>
        </a:p>
      </dgm:t>
    </dgm:pt>
    <dgm:pt modelId="{399F0C6F-6EF9-4BBC-8F8C-74F7043B2B33}" type="sibTrans" cxnId="{65E43AF3-D179-485C-9875-A65A828CCE76}">
      <dgm:prSet/>
      <dgm:spPr/>
      <dgm:t>
        <a:bodyPr/>
        <a:lstStyle/>
        <a:p>
          <a:endParaRPr lang="pt-BR"/>
        </a:p>
      </dgm:t>
    </dgm:pt>
    <dgm:pt modelId="{424E63FB-7A5E-47ED-BA8E-381C8BEA7B4D}">
      <dgm:prSet/>
      <dgm:spPr>
        <a:solidFill>
          <a:schemeClr val="accent6">
            <a:lumMod val="75000"/>
          </a:schemeClr>
        </a:solidFill>
      </dgm:spPr>
      <dgm:t>
        <a:bodyPr/>
        <a:lstStyle/>
        <a:p>
          <a:r>
            <a:rPr lang="pt-BR" b="1"/>
            <a:t>LANÇAMENTO</a:t>
          </a:r>
        </a:p>
      </dgm:t>
    </dgm:pt>
    <dgm:pt modelId="{EBA54DFC-7FC3-4D85-9BDE-4CD347E65E6C}" type="parTrans" cxnId="{92F2DEF2-629B-4230-8138-3DEF5A285113}">
      <dgm:prSet/>
      <dgm:spPr/>
      <dgm:t>
        <a:bodyPr/>
        <a:lstStyle/>
        <a:p>
          <a:endParaRPr lang="pt-BR"/>
        </a:p>
      </dgm:t>
    </dgm:pt>
    <dgm:pt modelId="{2D9C3D49-28A1-4E2A-8676-8FA2D87A3E83}" type="sibTrans" cxnId="{92F2DEF2-629B-4230-8138-3DEF5A285113}">
      <dgm:prSet/>
      <dgm:spPr/>
      <dgm:t>
        <a:bodyPr/>
        <a:lstStyle/>
        <a:p>
          <a:endParaRPr lang="pt-BR"/>
        </a:p>
      </dgm:t>
    </dgm:pt>
    <dgm:pt modelId="{4D29C077-1695-455C-9DAA-E15887E6F57B}">
      <dgm:prSet custT="1"/>
      <dgm:spPr>
        <a:solidFill>
          <a:schemeClr val="accent6">
            <a:lumMod val="75000"/>
          </a:schemeClr>
        </a:solidFill>
      </dgm:spPr>
      <dgm:t>
        <a:bodyPr/>
        <a:lstStyle/>
        <a:p>
          <a:r>
            <a:rPr lang="pt-BR" sz="800" b="1"/>
            <a:t>DESIGN</a:t>
          </a:r>
        </a:p>
        <a:p>
          <a:r>
            <a:rPr lang="pt-BR" sz="800" b="1"/>
            <a:t>PROTOTIPAGEM</a:t>
          </a:r>
        </a:p>
      </dgm:t>
    </dgm:pt>
    <dgm:pt modelId="{DE3A69AF-6A99-44DF-9639-EBEE5AEFB1D1}" type="parTrans" cxnId="{27C00910-C226-4303-8866-345AE734DB89}">
      <dgm:prSet/>
      <dgm:spPr/>
      <dgm:t>
        <a:bodyPr/>
        <a:lstStyle/>
        <a:p>
          <a:endParaRPr lang="pt-BR"/>
        </a:p>
      </dgm:t>
    </dgm:pt>
    <dgm:pt modelId="{E6AEEF36-DE94-4725-A972-AA3652B3FD65}" type="sibTrans" cxnId="{27C00910-C226-4303-8866-345AE734DB89}">
      <dgm:prSet/>
      <dgm:spPr/>
      <dgm:t>
        <a:bodyPr/>
        <a:lstStyle/>
        <a:p>
          <a:endParaRPr lang="pt-BR"/>
        </a:p>
      </dgm:t>
    </dgm:pt>
    <dgm:pt modelId="{809B22AA-EB2B-4C4F-82C3-E979FD4CF357}">
      <dgm:prSet custT="1"/>
      <dgm:spPr>
        <a:solidFill>
          <a:schemeClr val="accent6">
            <a:lumMod val="75000"/>
          </a:schemeClr>
        </a:solidFill>
      </dgm:spPr>
      <dgm:t>
        <a:bodyPr/>
        <a:lstStyle/>
        <a:p>
          <a:r>
            <a:rPr lang="pt-BR" sz="900" b="1"/>
            <a:t>PLANEJAMENTO</a:t>
          </a:r>
        </a:p>
      </dgm:t>
    </dgm:pt>
    <dgm:pt modelId="{E2EA6942-20E6-4D51-99FA-C77C5E746936}" type="parTrans" cxnId="{8F7AF59A-A09C-4519-9E40-16E103BD2262}">
      <dgm:prSet/>
      <dgm:spPr/>
      <dgm:t>
        <a:bodyPr/>
        <a:lstStyle/>
        <a:p>
          <a:endParaRPr lang="pt-BR"/>
        </a:p>
      </dgm:t>
    </dgm:pt>
    <dgm:pt modelId="{A3E7A7D9-26B8-432D-9CFA-8BAF85BB66C1}" type="sibTrans" cxnId="{8F7AF59A-A09C-4519-9E40-16E103BD2262}">
      <dgm:prSet/>
      <dgm:spPr/>
      <dgm:t>
        <a:bodyPr/>
        <a:lstStyle/>
        <a:p>
          <a:endParaRPr lang="pt-BR"/>
        </a:p>
      </dgm:t>
    </dgm:pt>
    <dgm:pt modelId="{8D244D8F-C792-40BC-A511-7DE39E45E194}">
      <dgm:prSet custT="1"/>
      <dgm:spPr>
        <a:solidFill>
          <a:schemeClr val="accent6">
            <a:lumMod val="75000"/>
          </a:schemeClr>
        </a:solidFill>
      </dgm:spPr>
      <dgm:t>
        <a:bodyPr/>
        <a:lstStyle/>
        <a:p>
          <a:r>
            <a:rPr lang="pt-BR" sz="1000" b="1"/>
            <a:t>INÍCIO</a:t>
          </a:r>
        </a:p>
      </dgm:t>
    </dgm:pt>
    <dgm:pt modelId="{D6922E7D-1806-4E3F-8FA5-876C5E53C8A8}" type="parTrans" cxnId="{C552F942-1B7C-4AFB-821A-4D72C958D1CB}">
      <dgm:prSet/>
      <dgm:spPr/>
      <dgm:t>
        <a:bodyPr/>
        <a:lstStyle/>
        <a:p>
          <a:endParaRPr lang="pt-BR"/>
        </a:p>
      </dgm:t>
    </dgm:pt>
    <dgm:pt modelId="{0BEBD46A-8D07-492E-B8B0-DBB8BC9382EB}" type="sibTrans" cxnId="{C552F942-1B7C-4AFB-821A-4D72C958D1CB}">
      <dgm:prSet/>
      <dgm:spPr/>
      <dgm:t>
        <a:bodyPr/>
        <a:lstStyle/>
        <a:p>
          <a:endParaRPr lang="pt-BR"/>
        </a:p>
      </dgm:t>
    </dgm:pt>
    <dgm:pt modelId="{B6389D6D-8AE5-4B3C-9BF6-CF7D2B974EDD}">
      <dgm:prSet/>
      <dgm:spPr/>
      <dgm:t>
        <a:bodyPr/>
        <a:lstStyle/>
        <a:p>
          <a:r>
            <a:rPr lang="pt-BR"/>
            <a:t>OBJETIVOS E METAS DO APP</a:t>
          </a:r>
        </a:p>
      </dgm:t>
    </dgm:pt>
    <dgm:pt modelId="{B5B99BBF-342F-4A4E-BF02-3E97606E944D}" type="parTrans" cxnId="{B7AC3C7B-0BE2-4CB7-AD76-781FCBA9DD7A}">
      <dgm:prSet/>
      <dgm:spPr/>
      <dgm:t>
        <a:bodyPr/>
        <a:lstStyle/>
        <a:p>
          <a:endParaRPr lang="pt-BR"/>
        </a:p>
      </dgm:t>
    </dgm:pt>
    <dgm:pt modelId="{9C75F253-3EC4-44CF-866A-C32D08314D38}" type="sibTrans" cxnId="{B7AC3C7B-0BE2-4CB7-AD76-781FCBA9DD7A}">
      <dgm:prSet/>
      <dgm:spPr/>
      <dgm:t>
        <a:bodyPr/>
        <a:lstStyle/>
        <a:p>
          <a:endParaRPr lang="pt-BR"/>
        </a:p>
      </dgm:t>
    </dgm:pt>
    <dgm:pt modelId="{97F38E1B-8B0A-4C1C-BB0E-8DC2824BBDEE}">
      <dgm:prSet/>
      <dgm:spPr/>
      <dgm:t>
        <a:bodyPr/>
        <a:lstStyle/>
        <a:p>
          <a:r>
            <a:rPr lang="pt-BR"/>
            <a:t>ANÁLISE DE ESTRUTURA DE MERCADO</a:t>
          </a:r>
        </a:p>
      </dgm:t>
    </dgm:pt>
    <dgm:pt modelId="{9792CF75-292C-4BCA-A2CF-C2FA68F001BD}" type="parTrans" cxnId="{F28D2A09-27DD-4A0C-BC01-7D87ED14C5EF}">
      <dgm:prSet/>
      <dgm:spPr/>
      <dgm:t>
        <a:bodyPr/>
        <a:lstStyle/>
        <a:p>
          <a:endParaRPr lang="pt-BR"/>
        </a:p>
      </dgm:t>
    </dgm:pt>
    <dgm:pt modelId="{2D6198F2-32BE-47EB-A094-B34B1ED30EA3}" type="sibTrans" cxnId="{F28D2A09-27DD-4A0C-BC01-7D87ED14C5EF}">
      <dgm:prSet/>
      <dgm:spPr/>
      <dgm:t>
        <a:bodyPr/>
        <a:lstStyle/>
        <a:p>
          <a:endParaRPr lang="pt-BR"/>
        </a:p>
      </dgm:t>
    </dgm:pt>
    <dgm:pt modelId="{4EDFDD96-7D03-4644-B893-2DE9B7516A86}">
      <dgm:prSet/>
      <dgm:spPr/>
      <dgm:t>
        <a:bodyPr/>
        <a:lstStyle/>
        <a:p>
          <a:r>
            <a:rPr lang="pt-BR"/>
            <a:t>DESIGN UI </a:t>
          </a:r>
        </a:p>
      </dgm:t>
    </dgm:pt>
    <dgm:pt modelId="{F488A61D-44A8-43AF-8D4D-9D3A28823A7B}" type="parTrans" cxnId="{3EA162A4-132D-4878-91E4-70CE79167425}">
      <dgm:prSet/>
      <dgm:spPr/>
      <dgm:t>
        <a:bodyPr/>
        <a:lstStyle/>
        <a:p>
          <a:endParaRPr lang="pt-BR"/>
        </a:p>
      </dgm:t>
    </dgm:pt>
    <dgm:pt modelId="{DE838DFA-5D9A-4E00-863E-4F0DE9AEC1FD}" type="sibTrans" cxnId="{3EA162A4-132D-4878-91E4-70CE79167425}">
      <dgm:prSet/>
      <dgm:spPr/>
      <dgm:t>
        <a:bodyPr/>
        <a:lstStyle/>
        <a:p>
          <a:endParaRPr lang="pt-BR"/>
        </a:p>
      </dgm:t>
    </dgm:pt>
    <dgm:pt modelId="{D9DCBD92-CF2D-4FA3-9650-A94983E94475}">
      <dgm:prSet/>
      <dgm:spPr/>
      <dgm:t>
        <a:bodyPr/>
        <a:lstStyle/>
        <a:p>
          <a:r>
            <a:rPr lang="pt-BR"/>
            <a:t>DEFINIR A ESTRUTURA DO SITE</a:t>
          </a:r>
        </a:p>
      </dgm:t>
    </dgm:pt>
    <dgm:pt modelId="{8069AF01-BDAC-4439-9E0A-EA0793CC3F91}" type="parTrans" cxnId="{0251C4D9-523C-45CA-9883-E36842905429}">
      <dgm:prSet/>
      <dgm:spPr/>
      <dgm:t>
        <a:bodyPr/>
        <a:lstStyle/>
        <a:p>
          <a:endParaRPr lang="pt-BR"/>
        </a:p>
      </dgm:t>
    </dgm:pt>
    <dgm:pt modelId="{62C8F385-660A-4B36-9BB8-6E3C7FF1DC57}" type="sibTrans" cxnId="{0251C4D9-523C-45CA-9883-E36842905429}">
      <dgm:prSet/>
      <dgm:spPr/>
      <dgm:t>
        <a:bodyPr/>
        <a:lstStyle/>
        <a:p>
          <a:endParaRPr lang="pt-BR"/>
        </a:p>
      </dgm:t>
    </dgm:pt>
    <dgm:pt modelId="{E2157045-4CE0-40CE-9C58-F4043DF91E33}">
      <dgm:prSet/>
      <dgm:spPr/>
      <dgm:t>
        <a:bodyPr/>
        <a:lstStyle/>
        <a:p>
          <a:r>
            <a:rPr lang="pt-BR"/>
            <a:t>INTEGRAÇÃO COM DIVERSOS SISTEMAS</a:t>
          </a:r>
        </a:p>
      </dgm:t>
    </dgm:pt>
    <dgm:pt modelId="{F9922145-9B07-49CE-9FA6-B33C82D2B167}" type="parTrans" cxnId="{762B93D8-43BE-42B3-8DE5-31247C71202B}">
      <dgm:prSet/>
      <dgm:spPr/>
      <dgm:t>
        <a:bodyPr/>
        <a:lstStyle/>
        <a:p>
          <a:endParaRPr lang="pt-BR"/>
        </a:p>
      </dgm:t>
    </dgm:pt>
    <dgm:pt modelId="{CA9D8683-4E32-4861-94E8-CF694F4D3BA3}" type="sibTrans" cxnId="{762B93D8-43BE-42B3-8DE5-31247C71202B}">
      <dgm:prSet/>
      <dgm:spPr/>
      <dgm:t>
        <a:bodyPr/>
        <a:lstStyle/>
        <a:p>
          <a:endParaRPr lang="pt-BR"/>
        </a:p>
      </dgm:t>
    </dgm:pt>
    <dgm:pt modelId="{D6F5CD79-D3E1-4B19-9C25-479267A00537}">
      <dgm:prSet/>
      <dgm:spPr/>
      <dgm:t>
        <a:bodyPr/>
        <a:lstStyle/>
        <a:p>
          <a:r>
            <a:rPr lang="pt-BR"/>
            <a:t>TESTES DE QUALIDADE E DESEMPENHO</a:t>
          </a:r>
        </a:p>
      </dgm:t>
    </dgm:pt>
    <dgm:pt modelId="{50F4CB47-0DB9-4B1E-9C75-49682DAC2BF7}" type="parTrans" cxnId="{C6FE6CD8-A901-422C-875C-5FBBBE15EF5E}">
      <dgm:prSet/>
      <dgm:spPr/>
      <dgm:t>
        <a:bodyPr/>
        <a:lstStyle/>
        <a:p>
          <a:endParaRPr lang="pt-BR"/>
        </a:p>
      </dgm:t>
    </dgm:pt>
    <dgm:pt modelId="{A143E528-DC48-443B-967F-FB0FB6BA3C02}" type="sibTrans" cxnId="{C6FE6CD8-A901-422C-875C-5FBBBE15EF5E}">
      <dgm:prSet/>
      <dgm:spPr/>
      <dgm:t>
        <a:bodyPr/>
        <a:lstStyle/>
        <a:p>
          <a:endParaRPr lang="pt-BR"/>
        </a:p>
      </dgm:t>
    </dgm:pt>
    <dgm:pt modelId="{92338313-9670-40FB-8040-D372407E9060}">
      <dgm:prSet/>
      <dgm:spPr/>
      <dgm:t>
        <a:bodyPr/>
        <a:lstStyle/>
        <a:p>
          <a:r>
            <a:rPr lang="pt-BR"/>
            <a:t>CRIAR MATERIAS DE MARKETING</a:t>
          </a:r>
        </a:p>
      </dgm:t>
    </dgm:pt>
    <dgm:pt modelId="{2EA6147A-4097-4648-9D83-1C15EC3F6E1C}" type="parTrans" cxnId="{87F57775-E1CB-4C77-B610-15C932BBF66E}">
      <dgm:prSet/>
      <dgm:spPr/>
      <dgm:t>
        <a:bodyPr/>
        <a:lstStyle/>
        <a:p>
          <a:endParaRPr lang="pt-BR"/>
        </a:p>
      </dgm:t>
    </dgm:pt>
    <dgm:pt modelId="{B4F18F56-A5B4-46E0-A7B1-FB49C24421E2}" type="sibTrans" cxnId="{87F57775-E1CB-4C77-B610-15C932BBF66E}">
      <dgm:prSet/>
      <dgm:spPr/>
      <dgm:t>
        <a:bodyPr/>
        <a:lstStyle/>
        <a:p>
          <a:endParaRPr lang="pt-BR"/>
        </a:p>
      </dgm:t>
    </dgm:pt>
    <dgm:pt modelId="{23A96D7A-299B-4FA1-93D0-41E5DC2BDB0F}">
      <dgm:prSet/>
      <dgm:spPr/>
      <dgm:t>
        <a:bodyPr/>
        <a:lstStyle/>
        <a:p>
          <a:r>
            <a:rPr lang="pt-BR"/>
            <a:t>MONITORAÇÃO DE MÉTRICAS E FEEDBACK</a:t>
          </a:r>
        </a:p>
      </dgm:t>
    </dgm:pt>
    <dgm:pt modelId="{E9B60A7F-1B58-4875-83A0-42F3D1E4F7F2}" type="parTrans" cxnId="{B7D1D96A-3311-42A6-95E4-ADEB798CB0AE}">
      <dgm:prSet/>
      <dgm:spPr/>
      <dgm:t>
        <a:bodyPr/>
        <a:lstStyle/>
        <a:p>
          <a:endParaRPr lang="pt-BR"/>
        </a:p>
      </dgm:t>
    </dgm:pt>
    <dgm:pt modelId="{2B4DE4BC-1F11-40B8-BA40-4D746CA32CA5}" type="sibTrans" cxnId="{B7D1D96A-3311-42A6-95E4-ADEB798CB0AE}">
      <dgm:prSet/>
      <dgm:spPr/>
      <dgm:t>
        <a:bodyPr/>
        <a:lstStyle/>
        <a:p>
          <a:endParaRPr lang="pt-BR"/>
        </a:p>
      </dgm:t>
    </dgm:pt>
    <dgm:pt modelId="{EEBC546B-B559-4568-BA01-5B4728E41645}">
      <dgm:prSet/>
      <dgm:spPr/>
      <dgm:t>
        <a:bodyPr/>
        <a:lstStyle/>
        <a:p>
          <a:r>
            <a:rPr lang="pt-BR"/>
            <a:t>ESTRATÉGIAS DE MARKETING</a:t>
          </a:r>
        </a:p>
      </dgm:t>
    </dgm:pt>
    <dgm:pt modelId="{90B63618-9D9F-4204-8A72-1DEDB9B6A698}" type="parTrans" cxnId="{BD8A4098-D363-4F86-8817-05EE9013D60E}">
      <dgm:prSet/>
      <dgm:spPr/>
      <dgm:t>
        <a:bodyPr/>
        <a:lstStyle/>
        <a:p>
          <a:endParaRPr lang="pt-BR"/>
        </a:p>
      </dgm:t>
    </dgm:pt>
    <dgm:pt modelId="{30517B5D-AB6C-4E1B-B1ED-2E6BBC68EE6B}" type="sibTrans" cxnId="{BD8A4098-D363-4F86-8817-05EE9013D60E}">
      <dgm:prSet/>
      <dgm:spPr/>
      <dgm:t>
        <a:bodyPr/>
        <a:lstStyle/>
        <a:p>
          <a:endParaRPr lang="pt-BR"/>
        </a:p>
      </dgm:t>
    </dgm:pt>
    <dgm:pt modelId="{FA075ABC-5CA4-4216-8E88-E8C82245409F}">
      <dgm:prSet/>
      <dgm:spPr/>
      <dgm:t>
        <a:bodyPr/>
        <a:lstStyle/>
        <a:p>
          <a:r>
            <a:rPr lang="pt-BR"/>
            <a:t>ANÁLISE DE DESEMPENHO</a:t>
          </a:r>
        </a:p>
      </dgm:t>
    </dgm:pt>
    <dgm:pt modelId="{164BE56B-4369-439C-BDA1-AC866650347E}" type="parTrans" cxnId="{1A5C29E5-0B3D-496A-BA37-3EE497555743}">
      <dgm:prSet/>
      <dgm:spPr/>
      <dgm:t>
        <a:bodyPr/>
        <a:lstStyle/>
        <a:p>
          <a:endParaRPr lang="pt-BR"/>
        </a:p>
      </dgm:t>
    </dgm:pt>
    <dgm:pt modelId="{EA0AF616-A340-440B-B802-02F18855477B}" type="sibTrans" cxnId="{1A5C29E5-0B3D-496A-BA37-3EE497555743}">
      <dgm:prSet/>
      <dgm:spPr/>
      <dgm:t>
        <a:bodyPr/>
        <a:lstStyle/>
        <a:p>
          <a:endParaRPr lang="pt-BR"/>
        </a:p>
      </dgm:t>
    </dgm:pt>
    <dgm:pt modelId="{BA15DC88-B838-4D5F-9BAB-AEC02AE52521}">
      <dgm:prSet/>
      <dgm:spPr/>
      <dgm:t>
        <a:bodyPr/>
        <a:lstStyle/>
        <a:p>
          <a:r>
            <a:rPr lang="pt-BR"/>
            <a:t>ANÁLISE DE EXPANSÃO DE MERCADO</a:t>
          </a:r>
        </a:p>
      </dgm:t>
    </dgm:pt>
    <dgm:pt modelId="{D1202378-9FC3-4AC3-BEDF-808E27AD479B}" type="parTrans" cxnId="{F7A145CB-AB41-45AF-8AD4-9A4F753B3ABE}">
      <dgm:prSet/>
      <dgm:spPr/>
      <dgm:t>
        <a:bodyPr/>
        <a:lstStyle/>
        <a:p>
          <a:endParaRPr lang="pt-BR"/>
        </a:p>
      </dgm:t>
    </dgm:pt>
    <dgm:pt modelId="{D7CB81A8-D79B-493F-A54C-A4C32D5B5C19}" type="sibTrans" cxnId="{F7A145CB-AB41-45AF-8AD4-9A4F753B3ABE}">
      <dgm:prSet/>
      <dgm:spPr/>
      <dgm:t>
        <a:bodyPr/>
        <a:lstStyle/>
        <a:p>
          <a:endParaRPr lang="pt-BR"/>
        </a:p>
      </dgm:t>
    </dgm:pt>
    <dgm:pt modelId="{86AF350A-A785-4BDD-9C13-1E90196942B4}">
      <dgm:prSet/>
      <dgm:spPr/>
      <dgm:t>
        <a:bodyPr/>
        <a:lstStyle/>
        <a:p>
          <a:r>
            <a:rPr lang="pt-BR"/>
            <a:t>DETALHAMENTO DE REQUISITOS</a:t>
          </a:r>
        </a:p>
      </dgm:t>
    </dgm:pt>
    <dgm:pt modelId="{B7B3C6AE-DFBB-46A9-8CF1-A1BD803B9409}" type="parTrans" cxnId="{25A7167F-DF6B-457E-B8FE-9C31F86E5923}">
      <dgm:prSet/>
      <dgm:spPr/>
      <dgm:t>
        <a:bodyPr/>
        <a:lstStyle/>
        <a:p>
          <a:endParaRPr lang="pt-BR"/>
        </a:p>
      </dgm:t>
    </dgm:pt>
    <dgm:pt modelId="{E2A53098-4FAB-4666-9DF9-9FFC35DA3367}" type="sibTrans" cxnId="{25A7167F-DF6B-457E-B8FE-9C31F86E5923}">
      <dgm:prSet/>
      <dgm:spPr/>
      <dgm:t>
        <a:bodyPr/>
        <a:lstStyle/>
        <a:p>
          <a:endParaRPr lang="pt-BR"/>
        </a:p>
      </dgm:t>
    </dgm:pt>
    <dgm:pt modelId="{95643014-9364-4ED7-A23C-11FF87634454}">
      <dgm:prSet/>
      <dgm:spPr/>
      <dgm:t>
        <a:bodyPr/>
        <a:lstStyle/>
        <a:p>
          <a:r>
            <a:rPr lang="pt-BR"/>
            <a:t>RELATORIOS DE RENDIEMNTO DE ESTABELECIMENTOS</a:t>
          </a:r>
        </a:p>
      </dgm:t>
    </dgm:pt>
    <dgm:pt modelId="{E0114C20-3A39-4242-9BD4-7E3A42C0079E}" type="parTrans" cxnId="{56F4D0BE-0ED8-4594-B6D7-DCDE4C6272FE}">
      <dgm:prSet/>
      <dgm:spPr/>
      <dgm:t>
        <a:bodyPr/>
        <a:lstStyle/>
        <a:p>
          <a:endParaRPr lang="pt-BR"/>
        </a:p>
      </dgm:t>
    </dgm:pt>
    <dgm:pt modelId="{17FCF78A-6A89-4118-8006-45387E9866DB}" type="sibTrans" cxnId="{56F4D0BE-0ED8-4594-B6D7-DCDE4C6272FE}">
      <dgm:prSet/>
      <dgm:spPr/>
      <dgm:t>
        <a:bodyPr/>
        <a:lstStyle/>
        <a:p>
          <a:endParaRPr lang="pt-BR"/>
        </a:p>
      </dgm:t>
    </dgm:pt>
    <dgm:pt modelId="{85C9611E-0EC3-4C90-8306-3D5D07DB36F8}">
      <dgm:prSet/>
      <dgm:spPr/>
      <dgm:t>
        <a:bodyPr/>
        <a:lstStyle/>
        <a:p>
          <a:r>
            <a:rPr lang="pt-BR" b="0"/>
            <a:t>DICAS</a:t>
          </a:r>
          <a:r>
            <a:rPr lang="pt-BR" b="0" baseline="0"/>
            <a:t> DE APRIMORAMENTO DE VENDAS</a:t>
          </a:r>
          <a:endParaRPr lang="pt-BR" b="0"/>
        </a:p>
      </dgm:t>
    </dgm:pt>
    <dgm:pt modelId="{4661214A-AF71-4F01-B5B7-3BAE62E034B1}" type="parTrans" cxnId="{5FA28F56-013D-472F-83B5-8187D8315481}">
      <dgm:prSet/>
      <dgm:spPr/>
      <dgm:t>
        <a:bodyPr/>
        <a:lstStyle/>
        <a:p>
          <a:endParaRPr lang="pt-BR"/>
        </a:p>
      </dgm:t>
    </dgm:pt>
    <dgm:pt modelId="{764D2B81-8F9C-4694-8817-C29E2CC9CA1B}" type="sibTrans" cxnId="{5FA28F56-013D-472F-83B5-8187D8315481}">
      <dgm:prSet/>
      <dgm:spPr/>
      <dgm:t>
        <a:bodyPr/>
        <a:lstStyle/>
        <a:p>
          <a:endParaRPr lang="pt-BR"/>
        </a:p>
      </dgm:t>
    </dgm:pt>
    <dgm:pt modelId="{C2EFE54E-DDBB-4937-AAAF-B8E47F74D697}">
      <dgm:prSet/>
      <dgm:spPr/>
      <dgm:t>
        <a:bodyPr/>
        <a:lstStyle/>
        <a:p>
          <a:r>
            <a:rPr lang="pt-BR"/>
            <a:t>MAPAS LOCAIS DE RESTAURANTES</a:t>
          </a:r>
        </a:p>
      </dgm:t>
    </dgm:pt>
    <dgm:pt modelId="{DCA270CC-2A75-49E7-89B8-4B3AC5996B9D}" type="parTrans" cxnId="{3D7DD36E-03E9-42F3-B684-10B7CEF98A4F}">
      <dgm:prSet/>
      <dgm:spPr/>
      <dgm:t>
        <a:bodyPr/>
        <a:lstStyle/>
        <a:p>
          <a:endParaRPr lang="pt-BR"/>
        </a:p>
      </dgm:t>
    </dgm:pt>
    <dgm:pt modelId="{5DE7361D-5FEF-405C-B0DD-35377479C1DF}" type="sibTrans" cxnId="{3D7DD36E-03E9-42F3-B684-10B7CEF98A4F}">
      <dgm:prSet/>
      <dgm:spPr/>
      <dgm:t>
        <a:bodyPr/>
        <a:lstStyle/>
        <a:p>
          <a:endParaRPr lang="pt-BR"/>
        </a:p>
      </dgm:t>
    </dgm:pt>
    <dgm:pt modelId="{0B7A893D-34B0-412E-AAF0-3244FF37E62F}">
      <dgm:prSet/>
      <dgm:spPr/>
      <dgm:t>
        <a:bodyPr/>
        <a:lstStyle/>
        <a:p>
          <a:r>
            <a:rPr lang="pt-BR"/>
            <a:t>INTEGRAÇÃO COM SISTEMAS DE MONITORAMENTO </a:t>
          </a:r>
        </a:p>
      </dgm:t>
    </dgm:pt>
    <dgm:pt modelId="{2DEF8671-DD1F-49D2-9C9F-4553E51583D7}" type="parTrans" cxnId="{DD8252DC-97BB-4DFF-98B1-5F9768B012B2}">
      <dgm:prSet/>
      <dgm:spPr/>
      <dgm:t>
        <a:bodyPr/>
        <a:lstStyle/>
        <a:p>
          <a:endParaRPr lang="pt-BR"/>
        </a:p>
      </dgm:t>
    </dgm:pt>
    <dgm:pt modelId="{EBBEF2A1-4FE1-445D-81D1-191137E58D73}" type="sibTrans" cxnId="{DD8252DC-97BB-4DFF-98B1-5F9768B012B2}">
      <dgm:prSet/>
      <dgm:spPr/>
      <dgm:t>
        <a:bodyPr/>
        <a:lstStyle/>
        <a:p>
          <a:endParaRPr lang="pt-BR"/>
        </a:p>
      </dgm:t>
    </dgm:pt>
    <dgm:pt modelId="{EB3954B5-74F4-4D11-9DFF-EA78507987CB}">
      <dgm:prSet/>
      <dgm:spPr/>
      <dgm:t>
        <a:bodyPr/>
        <a:lstStyle/>
        <a:p>
          <a:r>
            <a:rPr lang="pt-BR"/>
            <a:t>CRIAÇÃO DE CRONOGRAMAS E METAS</a:t>
          </a:r>
        </a:p>
      </dgm:t>
    </dgm:pt>
    <dgm:pt modelId="{DC6688E7-45CF-4D5C-9D56-6B7EDCF265A6}" type="parTrans" cxnId="{FCAD58C9-5B71-4F8F-A3A8-89272EB477CB}">
      <dgm:prSet/>
      <dgm:spPr/>
      <dgm:t>
        <a:bodyPr/>
        <a:lstStyle/>
        <a:p>
          <a:endParaRPr lang="pt-BR"/>
        </a:p>
      </dgm:t>
    </dgm:pt>
    <dgm:pt modelId="{70FF2AC7-4C12-4FF5-B75D-B14A9D9AF54D}" type="sibTrans" cxnId="{FCAD58C9-5B71-4F8F-A3A8-89272EB477CB}">
      <dgm:prSet/>
      <dgm:spPr/>
      <dgm:t>
        <a:bodyPr/>
        <a:lstStyle/>
        <a:p>
          <a:endParaRPr lang="pt-BR"/>
        </a:p>
      </dgm:t>
    </dgm:pt>
    <dgm:pt modelId="{6ED531EE-0BC7-4118-B43F-7D8D436633A8}">
      <dgm:prSet/>
      <dgm:spPr/>
      <dgm:t>
        <a:bodyPr/>
        <a:lstStyle/>
        <a:p>
          <a:r>
            <a:rPr lang="pt-BR"/>
            <a:t>IDENTIFICAÇÃO DE RECURSOS E FUNÇÕES</a:t>
          </a:r>
        </a:p>
      </dgm:t>
    </dgm:pt>
    <dgm:pt modelId="{D433E747-1E2C-41A0-B616-42B31870972F}" type="parTrans" cxnId="{14C546E3-3C2E-474D-828F-11A57961D2DD}">
      <dgm:prSet/>
      <dgm:spPr/>
      <dgm:t>
        <a:bodyPr/>
        <a:lstStyle/>
        <a:p>
          <a:endParaRPr lang="pt-BR"/>
        </a:p>
      </dgm:t>
    </dgm:pt>
    <dgm:pt modelId="{9952C637-C4F1-4218-8E7E-3DE34073E216}" type="sibTrans" cxnId="{14C546E3-3C2E-474D-828F-11A57961D2DD}">
      <dgm:prSet/>
      <dgm:spPr/>
      <dgm:t>
        <a:bodyPr/>
        <a:lstStyle/>
        <a:p>
          <a:endParaRPr lang="pt-BR"/>
        </a:p>
      </dgm:t>
    </dgm:pt>
    <dgm:pt modelId="{939AE253-A7E2-4EBA-B997-5913C2301F5A}">
      <dgm:prSet/>
      <dgm:spPr/>
      <dgm:t>
        <a:bodyPr/>
        <a:lstStyle/>
        <a:p>
          <a:r>
            <a:rPr lang="pt-BR"/>
            <a:t>DIRECIONAMENTO DE EQUIPES DE DESENVOLVIMENTO E DESIGN</a:t>
          </a:r>
        </a:p>
      </dgm:t>
    </dgm:pt>
    <dgm:pt modelId="{CB1CFF7C-42F1-4A09-8B31-0773BB970F24}" type="parTrans" cxnId="{5674EC56-7284-401F-B9D6-9A37111DF4F8}">
      <dgm:prSet/>
      <dgm:spPr/>
      <dgm:t>
        <a:bodyPr/>
        <a:lstStyle/>
        <a:p>
          <a:endParaRPr lang="pt-BR"/>
        </a:p>
      </dgm:t>
    </dgm:pt>
    <dgm:pt modelId="{8DE7717C-7BB8-4CCA-B0CF-5548E227F675}" type="sibTrans" cxnId="{5674EC56-7284-401F-B9D6-9A37111DF4F8}">
      <dgm:prSet/>
      <dgm:spPr/>
      <dgm:t>
        <a:bodyPr/>
        <a:lstStyle/>
        <a:p>
          <a:endParaRPr lang="pt-BR"/>
        </a:p>
      </dgm:t>
    </dgm:pt>
    <dgm:pt modelId="{E2EC6A85-58E6-4744-B75D-3324C60D8EE8}">
      <dgm:prSet/>
      <dgm:spPr/>
      <dgm:t>
        <a:bodyPr/>
        <a:lstStyle/>
        <a:p>
          <a:r>
            <a:rPr lang="pt-BR"/>
            <a:t>NAVEGAÇÃO E FUNCIONALIDADES</a:t>
          </a:r>
        </a:p>
      </dgm:t>
    </dgm:pt>
    <dgm:pt modelId="{B3501234-EF80-4869-A279-C89BC86861D2}" type="parTrans" cxnId="{DE9C8239-0598-4C48-90A2-01751F1B2D4D}">
      <dgm:prSet/>
      <dgm:spPr/>
      <dgm:t>
        <a:bodyPr/>
        <a:lstStyle/>
        <a:p>
          <a:endParaRPr lang="pt-BR"/>
        </a:p>
      </dgm:t>
    </dgm:pt>
    <dgm:pt modelId="{10EFCF7D-53F5-4063-BC87-A0BF36C60784}" type="sibTrans" cxnId="{DE9C8239-0598-4C48-90A2-01751F1B2D4D}">
      <dgm:prSet/>
      <dgm:spPr/>
      <dgm:t>
        <a:bodyPr/>
        <a:lstStyle/>
        <a:p>
          <a:endParaRPr lang="pt-BR"/>
        </a:p>
      </dgm:t>
    </dgm:pt>
    <dgm:pt modelId="{69233474-9CCA-431F-ADB6-8A9AC33B9697}">
      <dgm:prSet/>
      <dgm:spPr/>
      <dgm:t>
        <a:bodyPr/>
        <a:lstStyle/>
        <a:p>
          <a:r>
            <a:rPr lang="pt-BR"/>
            <a:t>PROTÓTIPOS INTERATIVOS</a:t>
          </a:r>
        </a:p>
      </dgm:t>
    </dgm:pt>
    <dgm:pt modelId="{622DEC80-7D3B-489F-A688-386A3BD66E46}" type="parTrans" cxnId="{F1E5D1E5-1268-475D-944D-33E806414ACD}">
      <dgm:prSet/>
      <dgm:spPr/>
      <dgm:t>
        <a:bodyPr/>
        <a:lstStyle/>
        <a:p>
          <a:endParaRPr lang="pt-BR"/>
        </a:p>
      </dgm:t>
    </dgm:pt>
    <dgm:pt modelId="{FEF84970-9F64-4C23-B93E-C7AB8DAB57E9}" type="sibTrans" cxnId="{F1E5D1E5-1268-475D-944D-33E806414ACD}">
      <dgm:prSet/>
      <dgm:spPr/>
      <dgm:t>
        <a:bodyPr/>
        <a:lstStyle/>
        <a:p>
          <a:endParaRPr lang="pt-BR"/>
        </a:p>
      </dgm:t>
    </dgm:pt>
    <dgm:pt modelId="{DBA8929B-46BA-404E-A3FA-7CF913B88C72}">
      <dgm:prSet/>
      <dgm:spPr/>
      <dgm:t>
        <a:bodyPr/>
        <a:lstStyle/>
        <a:p>
          <a:r>
            <a:rPr lang="pt-BR"/>
            <a:t>CÓDIGO FRONT-END</a:t>
          </a:r>
        </a:p>
      </dgm:t>
    </dgm:pt>
    <dgm:pt modelId="{F26A6E32-5FBB-4CEF-BDB1-A0E805534581}" type="parTrans" cxnId="{A0E7CBB5-7CF0-42B5-B4E5-93BE50449420}">
      <dgm:prSet/>
      <dgm:spPr/>
      <dgm:t>
        <a:bodyPr/>
        <a:lstStyle/>
        <a:p>
          <a:endParaRPr lang="pt-BR"/>
        </a:p>
      </dgm:t>
    </dgm:pt>
    <dgm:pt modelId="{79AC7646-F02B-4EB7-8D35-A654D4BDF6CA}" type="sibTrans" cxnId="{A0E7CBB5-7CF0-42B5-B4E5-93BE50449420}">
      <dgm:prSet/>
      <dgm:spPr/>
      <dgm:t>
        <a:bodyPr/>
        <a:lstStyle/>
        <a:p>
          <a:endParaRPr lang="pt-BR"/>
        </a:p>
      </dgm:t>
    </dgm:pt>
    <dgm:pt modelId="{C2E9E08C-C520-4750-9A46-099873830BC9}">
      <dgm:prSet/>
      <dgm:spPr/>
      <dgm:t>
        <a:bodyPr/>
        <a:lstStyle/>
        <a:p>
          <a:r>
            <a:rPr lang="pt-BR"/>
            <a:t>CÓDIGO BACK-END</a:t>
          </a:r>
        </a:p>
      </dgm:t>
    </dgm:pt>
    <dgm:pt modelId="{304499FC-178F-457B-9D5B-07C633CC1703}" type="parTrans" cxnId="{EB7666B2-9172-4ECA-B786-AA8FF5113B06}">
      <dgm:prSet/>
      <dgm:spPr/>
      <dgm:t>
        <a:bodyPr/>
        <a:lstStyle/>
        <a:p>
          <a:endParaRPr lang="pt-BR"/>
        </a:p>
      </dgm:t>
    </dgm:pt>
    <dgm:pt modelId="{E69A4F6D-B644-4F5C-905D-8356A91FFF6D}" type="sibTrans" cxnId="{EB7666B2-9172-4ECA-B786-AA8FF5113B06}">
      <dgm:prSet/>
      <dgm:spPr/>
      <dgm:t>
        <a:bodyPr/>
        <a:lstStyle/>
        <a:p>
          <a:endParaRPr lang="pt-BR"/>
        </a:p>
      </dgm:t>
    </dgm:pt>
    <dgm:pt modelId="{D5E38E4B-FED5-4A0A-B8AA-8728BED387A3}">
      <dgm:prSet/>
      <dgm:spPr/>
      <dgm:t>
        <a:bodyPr/>
        <a:lstStyle/>
        <a:p>
          <a:r>
            <a:rPr lang="pt-BR"/>
            <a:t>DESENVOLVER PRINCIPAIS MÓDULOS</a:t>
          </a:r>
        </a:p>
      </dgm:t>
    </dgm:pt>
    <dgm:pt modelId="{1182CA2F-4565-428E-AE54-DA4AC822DEC1}" type="parTrans" cxnId="{21C18FBE-38F8-4F4C-A586-7435BBF5F356}">
      <dgm:prSet/>
      <dgm:spPr/>
      <dgm:t>
        <a:bodyPr/>
        <a:lstStyle/>
        <a:p>
          <a:endParaRPr lang="pt-BR"/>
        </a:p>
      </dgm:t>
    </dgm:pt>
    <dgm:pt modelId="{F08BBAFC-C54C-473A-A12D-0976EAD9F5B1}" type="sibTrans" cxnId="{21C18FBE-38F8-4F4C-A586-7435BBF5F356}">
      <dgm:prSet/>
      <dgm:spPr/>
      <dgm:t>
        <a:bodyPr/>
        <a:lstStyle/>
        <a:p>
          <a:endParaRPr lang="pt-BR"/>
        </a:p>
      </dgm:t>
    </dgm:pt>
    <dgm:pt modelId="{B3F45023-E1E3-43C0-B67F-AD1E7AC51078}">
      <dgm:prSet/>
      <dgm:spPr/>
      <dgm:t>
        <a:bodyPr/>
        <a:lstStyle/>
        <a:p>
          <a:r>
            <a:rPr lang="pt-BR"/>
            <a:t>MÓDULO DE INDICAÇÃO DE RESTAURANTES</a:t>
          </a:r>
        </a:p>
      </dgm:t>
    </dgm:pt>
    <dgm:pt modelId="{E5DFCF2D-8524-4D8E-AB8B-E3229044C96F}" type="parTrans" cxnId="{AD7A2B7E-65A4-458E-9A02-A18E82620DF8}">
      <dgm:prSet/>
      <dgm:spPr/>
      <dgm:t>
        <a:bodyPr/>
        <a:lstStyle/>
        <a:p>
          <a:endParaRPr lang="pt-BR"/>
        </a:p>
      </dgm:t>
    </dgm:pt>
    <dgm:pt modelId="{C9664199-173B-4D48-A43A-0784E524AFD3}" type="sibTrans" cxnId="{AD7A2B7E-65A4-458E-9A02-A18E82620DF8}">
      <dgm:prSet/>
      <dgm:spPr/>
      <dgm:t>
        <a:bodyPr/>
        <a:lstStyle/>
        <a:p>
          <a:endParaRPr lang="pt-BR"/>
        </a:p>
      </dgm:t>
    </dgm:pt>
    <dgm:pt modelId="{971055BB-A4A3-40DF-B506-54605DDFB45E}">
      <dgm:prSet/>
      <dgm:spPr/>
      <dgm:t>
        <a:bodyPr/>
        <a:lstStyle/>
        <a:p>
          <a:r>
            <a:rPr lang="pt-BR"/>
            <a:t>GERADOR DE RELATORIOS COM INDICADORES</a:t>
          </a:r>
        </a:p>
      </dgm:t>
    </dgm:pt>
    <dgm:pt modelId="{C550F39E-3BA4-4EAC-9784-E4F9E4C6F36F}" type="parTrans" cxnId="{5B6CFCF8-25A2-4BDC-9211-21E220344ED1}">
      <dgm:prSet/>
      <dgm:spPr/>
      <dgm:t>
        <a:bodyPr/>
        <a:lstStyle/>
        <a:p>
          <a:endParaRPr lang="pt-BR"/>
        </a:p>
      </dgm:t>
    </dgm:pt>
    <dgm:pt modelId="{5A6147EE-A1A6-4614-9DEB-0D9C46F37CEE}" type="sibTrans" cxnId="{5B6CFCF8-25A2-4BDC-9211-21E220344ED1}">
      <dgm:prSet/>
      <dgm:spPr/>
      <dgm:t>
        <a:bodyPr/>
        <a:lstStyle/>
        <a:p>
          <a:endParaRPr lang="pt-BR"/>
        </a:p>
      </dgm:t>
    </dgm:pt>
    <dgm:pt modelId="{B71ED880-875D-465D-A2D5-7EFCE170B8F3}">
      <dgm:prSet/>
      <dgm:spPr/>
      <dgm:t>
        <a:bodyPr/>
        <a:lstStyle/>
        <a:p>
          <a:r>
            <a:rPr lang="pt-BR"/>
            <a:t>INTEGRAÇÃO DE APIS</a:t>
          </a:r>
        </a:p>
      </dgm:t>
    </dgm:pt>
    <dgm:pt modelId="{6B85388F-71E1-413F-BC49-7FE13C99924D}" type="parTrans" cxnId="{186A48B7-C942-4DF9-A198-0A87B53EE7B1}">
      <dgm:prSet/>
      <dgm:spPr/>
      <dgm:t>
        <a:bodyPr/>
        <a:lstStyle/>
        <a:p>
          <a:endParaRPr lang="pt-BR"/>
        </a:p>
      </dgm:t>
    </dgm:pt>
    <dgm:pt modelId="{01D8D94A-4C5D-44E8-A195-D41DEB2DABF3}" type="sibTrans" cxnId="{186A48B7-C942-4DF9-A198-0A87B53EE7B1}">
      <dgm:prSet/>
      <dgm:spPr/>
      <dgm:t>
        <a:bodyPr/>
        <a:lstStyle/>
        <a:p>
          <a:endParaRPr lang="pt-BR"/>
        </a:p>
      </dgm:t>
    </dgm:pt>
    <dgm:pt modelId="{602FD50F-130C-4E3A-A16E-AF79EACA12AD}">
      <dgm:prSet/>
      <dgm:spPr/>
      <dgm:t>
        <a:bodyPr/>
        <a:lstStyle/>
        <a:p>
          <a:r>
            <a:rPr lang="pt-BR"/>
            <a:t>GARANTIR A SEGURANÇA E PRIVACIDADE </a:t>
          </a:r>
        </a:p>
      </dgm:t>
    </dgm:pt>
    <dgm:pt modelId="{7B0E8674-AF5F-4D43-BDCB-E4D39514593E}" type="parTrans" cxnId="{E8CAFC66-D95E-4317-A7A2-C8AB6D6BA112}">
      <dgm:prSet/>
      <dgm:spPr/>
      <dgm:t>
        <a:bodyPr/>
        <a:lstStyle/>
        <a:p>
          <a:endParaRPr lang="pt-BR"/>
        </a:p>
      </dgm:t>
    </dgm:pt>
    <dgm:pt modelId="{D4ED3A0A-0C59-4430-AAD1-BDBBC840422D}" type="sibTrans" cxnId="{E8CAFC66-D95E-4317-A7A2-C8AB6D6BA112}">
      <dgm:prSet/>
      <dgm:spPr/>
      <dgm:t>
        <a:bodyPr/>
        <a:lstStyle/>
        <a:p>
          <a:endParaRPr lang="pt-BR"/>
        </a:p>
      </dgm:t>
    </dgm:pt>
    <dgm:pt modelId="{E5E9916D-2D7F-4C7A-A808-9D88F35BEC5A}">
      <dgm:prSet/>
      <dgm:spPr/>
      <dgm:t>
        <a:bodyPr/>
        <a:lstStyle/>
        <a:p>
          <a:r>
            <a:rPr lang="pt-BR"/>
            <a:t>INTEGRAÇÃO E SINCRONIZAÇÃO DE DADOS</a:t>
          </a:r>
        </a:p>
      </dgm:t>
    </dgm:pt>
    <dgm:pt modelId="{6EAA41E0-1525-42E3-A200-48C0FE921E72}" type="parTrans" cxnId="{8A23767A-9C3F-4E56-B59C-7BCEF096F684}">
      <dgm:prSet/>
      <dgm:spPr/>
      <dgm:t>
        <a:bodyPr/>
        <a:lstStyle/>
        <a:p>
          <a:endParaRPr lang="pt-BR"/>
        </a:p>
      </dgm:t>
    </dgm:pt>
    <dgm:pt modelId="{4AC5E256-0BCF-40E2-AEBD-A2D1A83F40E2}" type="sibTrans" cxnId="{8A23767A-9C3F-4E56-B59C-7BCEF096F684}">
      <dgm:prSet/>
      <dgm:spPr/>
      <dgm:t>
        <a:bodyPr/>
        <a:lstStyle/>
        <a:p>
          <a:endParaRPr lang="pt-BR"/>
        </a:p>
      </dgm:t>
    </dgm:pt>
    <dgm:pt modelId="{9AC19E5E-60C4-4CCF-A20E-E4814BC2FE9B}">
      <dgm:prSet/>
      <dgm:spPr/>
      <dgm:t>
        <a:bodyPr/>
        <a:lstStyle/>
        <a:p>
          <a:r>
            <a:rPr lang="pt-BR"/>
            <a:t>TESTES DE USABILIDADE</a:t>
          </a:r>
        </a:p>
      </dgm:t>
    </dgm:pt>
    <dgm:pt modelId="{699FA3BB-5DDB-4810-8B78-2E6BCAFDC511}" type="parTrans" cxnId="{A07DF47A-E69E-495D-8151-1979DE0A5DDB}">
      <dgm:prSet/>
      <dgm:spPr/>
      <dgm:t>
        <a:bodyPr/>
        <a:lstStyle/>
        <a:p>
          <a:endParaRPr lang="pt-BR"/>
        </a:p>
      </dgm:t>
    </dgm:pt>
    <dgm:pt modelId="{9F54CECE-D9A6-4EF2-828B-C01621ECF61C}" type="sibTrans" cxnId="{A07DF47A-E69E-495D-8151-1979DE0A5DDB}">
      <dgm:prSet/>
      <dgm:spPr/>
      <dgm:t>
        <a:bodyPr/>
        <a:lstStyle/>
        <a:p>
          <a:endParaRPr lang="pt-BR"/>
        </a:p>
      </dgm:t>
    </dgm:pt>
    <dgm:pt modelId="{03DF699C-3176-485E-B584-5BC85EC703ED}">
      <dgm:prSet/>
      <dgm:spPr/>
      <dgm:t>
        <a:bodyPr/>
        <a:lstStyle/>
        <a:p>
          <a:r>
            <a:rPr lang="pt-BR"/>
            <a:t>IDENTIFICAÇÃO E CORREÇÃO DE BUGS</a:t>
          </a:r>
        </a:p>
      </dgm:t>
    </dgm:pt>
    <dgm:pt modelId="{FDDB7EEE-AB02-47E4-B007-CB2A762CB7F9}" type="parTrans" cxnId="{7241A540-84B9-4248-A8C9-589551961BC5}">
      <dgm:prSet/>
      <dgm:spPr/>
      <dgm:t>
        <a:bodyPr/>
        <a:lstStyle/>
        <a:p>
          <a:endParaRPr lang="pt-BR"/>
        </a:p>
      </dgm:t>
    </dgm:pt>
    <dgm:pt modelId="{C3CA3D16-3F50-4C85-8F9B-29F6F52233B6}" type="sibTrans" cxnId="{7241A540-84B9-4248-A8C9-589551961BC5}">
      <dgm:prSet/>
      <dgm:spPr/>
      <dgm:t>
        <a:bodyPr/>
        <a:lstStyle/>
        <a:p>
          <a:endParaRPr lang="pt-BR"/>
        </a:p>
      </dgm:t>
    </dgm:pt>
    <dgm:pt modelId="{8AB7F64B-E4EA-46A3-93C5-530B1FAAB3A0}">
      <dgm:prSet/>
      <dgm:spPr/>
      <dgm:t>
        <a:bodyPr/>
        <a:lstStyle/>
        <a:p>
          <a:r>
            <a:rPr lang="pt-BR"/>
            <a:t>PREPARAR INFRAESTRUTURA NO MARKETPLACE</a:t>
          </a:r>
        </a:p>
      </dgm:t>
    </dgm:pt>
    <dgm:pt modelId="{D39B8DD9-864C-4EB7-9F89-A2AD12438034}" type="parTrans" cxnId="{633930AF-3D0C-41D1-9D7D-CE36CB354B8D}">
      <dgm:prSet/>
      <dgm:spPr/>
      <dgm:t>
        <a:bodyPr/>
        <a:lstStyle/>
        <a:p>
          <a:endParaRPr lang="pt-BR"/>
        </a:p>
      </dgm:t>
    </dgm:pt>
    <dgm:pt modelId="{54EF72C2-E454-4C40-B61C-C5559BC6F1E5}" type="sibTrans" cxnId="{633930AF-3D0C-41D1-9D7D-CE36CB354B8D}">
      <dgm:prSet/>
      <dgm:spPr/>
      <dgm:t>
        <a:bodyPr/>
        <a:lstStyle/>
        <a:p>
          <a:endParaRPr lang="pt-BR"/>
        </a:p>
      </dgm:t>
    </dgm:pt>
    <dgm:pt modelId="{F02C7DD0-38B5-42D3-B052-77C4D943365F}">
      <dgm:prSet/>
      <dgm:spPr/>
      <dgm:t>
        <a:bodyPr/>
        <a:lstStyle/>
        <a:p>
          <a:r>
            <a:rPr lang="pt-BR"/>
            <a:t>AVALIAÇÃO DO SITE NAS LOJAS DE APLICATIVOS</a:t>
          </a:r>
        </a:p>
      </dgm:t>
    </dgm:pt>
    <dgm:pt modelId="{3C430132-43C1-47EF-A156-1D4161537981}" type="parTrans" cxnId="{0B06A545-F7FA-4E92-9E10-17CE2A337029}">
      <dgm:prSet/>
      <dgm:spPr/>
      <dgm:t>
        <a:bodyPr/>
        <a:lstStyle/>
        <a:p>
          <a:endParaRPr lang="pt-BR"/>
        </a:p>
      </dgm:t>
    </dgm:pt>
    <dgm:pt modelId="{50138A85-8EAD-497B-B628-3150CB39B50A}" type="sibTrans" cxnId="{0B06A545-F7FA-4E92-9E10-17CE2A337029}">
      <dgm:prSet/>
      <dgm:spPr/>
      <dgm:t>
        <a:bodyPr/>
        <a:lstStyle/>
        <a:p>
          <a:endParaRPr lang="pt-BR"/>
        </a:p>
      </dgm:t>
    </dgm:pt>
    <dgm:pt modelId="{EC6FE534-DC93-4BE9-B221-533498D9AED2}">
      <dgm:prSet/>
      <dgm:spPr/>
      <dgm:t>
        <a:bodyPr/>
        <a:lstStyle/>
        <a:p>
          <a:r>
            <a:rPr lang="pt-BR"/>
            <a:t>REALIZAÇÃO DE ATUALIZAÇÕES E MELHORIAS CONTÍNUAS</a:t>
          </a:r>
        </a:p>
      </dgm:t>
    </dgm:pt>
    <dgm:pt modelId="{E1527C33-CFAA-4D8C-96C4-EE6231657CF0}" type="parTrans" cxnId="{FE8D82F4-EC2E-4B25-896E-A6EFC76B2206}">
      <dgm:prSet/>
      <dgm:spPr/>
      <dgm:t>
        <a:bodyPr/>
        <a:lstStyle/>
        <a:p>
          <a:endParaRPr lang="pt-BR"/>
        </a:p>
      </dgm:t>
    </dgm:pt>
    <dgm:pt modelId="{6D81CC16-08CD-4BC5-BB25-D3C60D9BB3C1}" type="sibTrans" cxnId="{FE8D82F4-EC2E-4B25-896E-A6EFC76B2206}">
      <dgm:prSet/>
      <dgm:spPr/>
      <dgm:t>
        <a:bodyPr/>
        <a:lstStyle/>
        <a:p>
          <a:endParaRPr lang="pt-BR"/>
        </a:p>
      </dgm:t>
    </dgm:pt>
    <dgm:pt modelId="{0995A2E3-0901-4DB1-B970-376B2E4006D1}">
      <dgm:prSet/>
      <dgm:spPr/>
      <dgm:t>
        <a:bodyPr/>
        <a:lstStyle/>
        <a:p>
          <a:r>
            <a:rPr lang="pt-BR"/>
            <a:t>SUPORTE E SOLUÇÃO DE DÚVIDAS</a:t>
          </a:r>
        </a:p>
      </dgm:t>
    </dgm:pt>
    <dgm:pt modelId="{902A754E-4E4A-4847-B0A2-573B94308BBA}" type="parTrans" cxnId="{A8FF89BC-D15C-44F3-A67F-96B16824950D}">
      <dgm:prSet/>
      <dgm:spPr/>
      <dgm:t>
        <a:bodyPr/>
        <a:lstStyle/>
        <a:p>
          <a:endParaRPr lang="pt-BR"/>
        </a:p>
      </dgm:t>
    </dgm:pt>
    <dgm:pt modelId="{20A0EF64-0AD3-4993-8E6E-5758F9AF64A6}" type="sibTrans" cxnId="{A8FF89BC-D15C-44F3-A67F-96B16824950D}">
      <dgm:prSet/>
      <dgm:spPr/>
      <dgm:t>
        <a:bodyPr/>
        <a:lstStyle/>
        <a:p>
          <a:endParaRPr lang="pt-BR"/>
        </a:p>
      </dgm:t>
    </dgm:pt>
    <dgm:pt modelId="{6D7A7801-BB63-47F6-9F80-2013CE3C8DDF}">
      <dgm:prSet/>
      <dgm:spPr/>
      <dgm:t>
        <a:bodyPr/>
        <a:lstStyle/>
        <a:p>
          <a:r>
            <a:rPr lang="pt-BR"/>
            <a:t>COLABORAÇÃO COM INFLUENCIADORES DE SAÚDE </a:t>
          </a:r>
        </a:p>
      </dgm:t>
    </dgm:pt>
    <dgm:pt modelId="{0BCFA6B9-4E38-4DF4-9665-C5288F643973}" type="parTrans" cxnId="{50BFF7DD-F1F7-43DF-9057-627C4B6D0B71}">
      <dgm:prSet/>
      <dgm:spPr/>
      <dgm:t>
        <a:bodyPr/>
        <a:lstStyle/>
        <a:p>
          <a:endParaRPr lang="pt-BR"/>
        </a:p>
      </dgm:t>
    </dgm:pt>
    <dgm:pt modelId="{EBEA04DD-D1A7-4439-860D-D29C5EFB821E}" type="sibTrans" cxnId="{50BFF7DD-F1F7-43DF-9057-627C4B6D0B71}">
      <dgm:prSet/>
      <dgm:spPr/>
      <dgm:t>
        <a:bodyPr/>
        <a:lstStyle/>
        <a:p>
          <a:endParaRPr lang="pt-BR"/>
        </a:p>
      </dgm:t>
    </dgm:pt>
    <dgm:pt modelId="{8C33E48E-334E-4A5A-8828-C0B9BC12F4DA}">
      <dgm:prSet/>
      <dgm:spPr/>
      <dgm:t>
        <a:bodyPr/>
        <a:lstStyle/>
        <a:p>
          <a:r>
            <a:rPr lang="pt-BR"/>
            <a:t>CAMPANHAS EM MÍDIAS SOCIAIS E ANÚNCIOS ONLINE</a:t>
          </a:r>
        </a:p>
      </dgm:t>
    </dgm:pt>
    <dgm:pt modelId="{7D1D39C0-3B18-4635-B1B3-C21C05B51E72}" type="parTrans" cxnId="{2BBFBFB3-9575-4C01-9758-C9373EB496DF}">
      <dgm:prSet/>
      <dgm:spPr/>
      <dgm:t>
        <a:bodyPr/>
        <a:lstStyle/>
        <a:p>
          <a:endParaRPr lang="pt-BR"/>
        </a:p>
      </dgm:t>
    </dgm:pt>
    <dgm:pt modelId="{A5953739-5348-4DF8-A599-C497DF96D7A3}" type="sibTrans" cxnId="{2BBFBFB3-9575-4C01-9758-C9373EB496DF}">
      <dgm:prSet/>
      <dgm:spPr/>
      <dgm:t>
        <a:bodyPr/>
        <a:lstStyle/>
        <a:p>
          <a:endParaRPr lang="pt-BR"/>
        </a:p>
      </dgm:t>
    </dgm:pt>
    <dgm:pt modelId="{52322AC1-C0CA-41C2-AF77-D47B568609DC}">
      <dgm:prSet/>
      <dgm:spPr/>
      <dgm:t>
        <a:bodyPr/>
        <a:lstStyle/>
        <a:p>
          <a:r>
            <a:rPr lang="pt-BR"/>
            <a:t>COLETAR FEEDBACK E IMPLEMENTAÇÃO DE MELHORIAS</a:t>
          </a:r>
        </a:p>
      </dgm:t>
    </dgm:pt>
    <dgm:pt modelId="{3BEC5FAA-E4C7-4310-8BF8-FD6D6CD14D5D}" type="parTrans" cxnId="{E81CE985-107C-46B1-8E6F-793372A7C67F}">
      <dgm:prSet/>
      <dgm:spPr/>
      <dgm:t>
        <a:bodyPr/>
        <a:lstStyle/>
        <a:p>
          <a:endParaRPr lang="pt-BR"/>
        </a:p>
      </dgm:t>
    </dgm:pt>
    <dgm:pt modelId="{4588D817-B422-419C-9BBD-93DD8ABBE6F3}" type="sibTrans" cxnId="{E81CE985-107C-46B1-8E6F-793372A7C67F}">
      <dgm:prSet/>
      <dgm:spPr/>
      <dgm:t>
        <a:bodyPr/>
        <a:lstStyle/>
        <a:p>
          <a:endParaRPr lang="pt-BR"/>
        </a:p>
      </dgm:t>
    </dgm:pt>
    <dgm:pt modelId="{B0D67059-EF7D-43CE-8506-8E9B5868DB0C}">
      <dgm:prSet/>
      <dgm:spPr/>
      <dgm:t>
        <a:bodyPr/>
        <a:lstStyle/>
        <a:p>
          <a:r>
            <a:rPr lang="pt-BR"/>
            <a:t>ADAPTAÇÃO  AO MERCADO</a:t>
          </a:r>
        </a:p>
      </dgm:t>
    </dgm:pt>
    <dgm:pt modelId="{D010ED04-6422-41B1-9B13-F8A5DEAE4019}" type="parTrans" cxnId="{B6E8350D-073B-4398-AB39-54D9747CCAF2}">
      <dgm:prSet/>
      <dgm:spPr/>
      <dgm:t>
        <a:bodyPr/>
        <a:lstStyle/>
        <a:p>
          <a:endParaRPr lang="pt-BR"/>
        </a:p>
      </dgm:t>
    </dgm:pt>
    <dgm:pt modelId="{EA6F9236-2F0E-4B77-84C3-BC211A6AAA2F}" type="sibTrans" cxnId="{B6E8350D-073B-4398-AB39-54D9747CCAF2}">
      <dgm:prSet/>
      <dgm:spPr/>
      <dgm:t>
        <a:bodyPr/>
        <a:lstStyle/>
        <a:p>
          <a:endParaRPr lang="pt-BR"/>
        </a:p>
      </dgm:t>
    </dgm:pt>
    <dgm:pt modelId="{85451313-C917-4F47-86D0-45E28E549CBF}">
      <dgm:prSet/>
      <dgm:spPr/>
      <dgm:t>
        <a:bodyPr/>
        <a:lstStyle/>
        <a:p>
          <a:r>
            <a:rPr lang="pt-BR"/>
            <a:t>DESENVOLVER PARCERIAS</a:t>
          </a:r>
        </a:p>
      </dgm:t>
    </dgm:pt>
    <dgm:pt modelId="{900F9B5B-B201-41E8-9F84-B4A949821D1D}" type="parTrans" cxnId="{C8D70DD5-D354-4E8F-8F36-FBA22A5D2A2C}">
      <dgm:prSet/>
      <dgm:spPr/>
      <dgm:t>
        <a:bodyPr/>
        <a:lstStyle/>
        <a:p>
          <a:endParaRPr lang="pt-BR"/>
        </a:p>
      </dgm:t>
    </dgm:pt>
    <dgm:pt modelId="{C35E62F3-BCD5-4083-A380-44B10F6F2EC2}" type="sibTrans" cxnId="{C8D70DD5-D354-4E8F-8F36-FBA22A5D2A2C}">
      <dgm:prSet/>
      <dgm:spPr/>
      <dgm:t>
        <a:bodyPr/>
        <a:lstStyle/>
        <a:p>
          <a:endParaRPr lang="pt-BR"/>
        </a:p>
      </dgm:t>
    </dgm:pt>
    <dgm:pt modelId="{F9F2A175-3F9B-492A-AD89-F9ADF1AA7A09}">
      <dgm:prSet/>
      <dgm:spPr/>
      <dgm:t>
        <a:bodyPr/>
        <a:lstStyle/>
        <a:p>
          <a:r>
            <a:rPr lang="pt-BR"/>
            <a:t>DESENVOLVER VERSÕES DE ASSINATURA</a:t>
          </a:r>
        </a:p>
      </dgm:t>
    </dgm:pt>
    <dgm:pt modelId="{23233B68-EF36-4A02-9B22-884F03B3E17D}" type="parTrans" cxnId="{02726BBB-A793-416B-8A98-F88455A0A603}">
      <dgm:prSet/>
      <dgm:spPr/>
      <dgm:t>
        <a:bodyPr/>
        <a:lstStyle/>
        <a:p>
          <a:endParaRPr lang="pt-BR"/>
        </a:p>
      </dgm:t>
    </dgm:pt>
    <dgm:pt modelId="{6783538A-23B6-4D3C-92F4-06CBADDFC98C}" type="sibTrans" cxnId="{02726BBB-A793-416B-8A98-F88455A0A603}">
      <dgm:prSet/>
      <dgm:spPr/>
      <dgm:t>
        <a:bodyPr/>
        <a:lstStyle/>
        <a:p>
          <a:endParaRPr lang="pt-BR"/>
        </a:p>
      </dgm:t>
    </dgm:pt>
    <dgm:pt modelId="{141B889D-94F1-45C1-B73E-13B1197CCCF8}">
      <dgm:prSet/>
      <dgm:spPr/>
      <dgm:t>
        <a:bodyPr/>
        <a:lstStyle/>
        <a:p>
          <a:r>
            <a:rPr lang="pt-BR"/>
            <a:t>DESIGN UX</a:t>
          </a:r>
        </a:p>
      </dgm:t>
    </dgm:pt>
    <dgm:pt modelId="{16CD9583-BD21-4156-92D6-71CDB340D1AD}" type="parTrans" cxnId="{B92B522F-B1AC-4084-8435-05E3C9E7FBC1}">
      <dgm:prSet/>
      <dgm:spPr/>
      <dgm:t>
        <a:bodyPr/>
        <a:lstStyle/>
        <a:p>
          <a:endParaRPr lang="pt-BR"/>
        </a:p>
      </dgm:t>
    </dgm:pt>
    <dgm:pt modelId="{FD784D90-C615-46FC-910F-FBF76A3078C0}" type="sibTrans" cxnId="{B92B522F-B1AC-4084-8435-05E3C9E7FBC1}">
      <dgm:prSet/>
      <dgm:spPr/>
      <dgm:t>
        <a:bodyPr/>
        <a:lstStyle/>
        <a:p>
          <a:endParaRPr lang="pt-BR"/>
        </a:p>
      </dgm:t>
    </dgm:pt>
    <dgm:pt modelId="{0AE7F9E1-765F-489C-8C16-C7BC49A797D9}">
      <dgm:prSet/>
      <dgm:spPr/>
      <dgm:t>
        <a:bodyPr/>
        <a:lstStyle/>
        <a:p>
          <a:r>
            <a:rPr lang="pt-BR"/>
            <a:t>INTERFACE LIMPA E INTUITIVA</a:t>
          </a:r>
        </a:p>
      </dgm:t>
    </dgm:pt>
    <dgm:pt modelId="{3D8434B0-DEC5-4689-B419-C2351767EFE8}" type="parTrans" cxnId="{71E1FC74-41F8-4DF4-A6BB-6C89D145CA37}">
      <dgm:prSet/>
      <dgm:spPr/>
      <dgm:t>
        <a:bodyPr/>
        <a:lstStyle/>
        <a:p>
          <a:endParaRPr lang="pt-BR"/>
        </a:p>
      </dgm:t>
    </dgm:pt>
    <dgm:pt modelId="{CF6AFA8F-6A63-4640-9B8A-9183306EE590}" type="sibTrans" cxnId="{71E1FC74-41F8-4DF4-A6BB-6C89D145CA37}">
      <dgm:prSet/>
      <dgm:spPr/>
      <dgm:t>
        <a:bodyPr/>
        <a:lstStyle/>
        <a:p>
          <a:endParaRPr lang="pt-BR"/>
        </a:p>
      </dgm:t>
    </dgm:pt>
    <dgm:pt modelId="{1FA32465-79CA-43E4-925C-FD9E6E9DB5C8}">
      <dgm:prSet/>
      <dgm:spPr/>
      <dgm:t>
        <a:bodyPr/>
        <a:lstStyle/>
        <a:p>
          <a:r>
            <a:rPr lang="pt-BR"/>
            <a:t>TESTAR A UI/UX</a:t>
          </a:r>
        </a:p>
      </dgm:t>
    </dgm:pt>
    <dgm:pt modelId="{88490267-DE7E-43ED-9BD4-B69E754A61AF}" type="parTrans" cxnId="{05578DD0-72FA-4B08-B907-FC8A62576561}">
      <dgm:prSet/>
      <dgm:spPr/>
      <dgm:t>
        <a:bodyPr/>
        <a:lstStyle/>
        <a:p>
          <a:endParaRPr lang="pt-BR"/>
        </a:p>
      </dgm:t>
    </dgm:pt>
    <dgm:pt modelId="{8D80A846-3714-4A60-AA9F-DC844391A49A}" type="sibTrans" cxnId="{05578DD0-72FA-4B08-B907-FC8A62576561}">
      <dgm:prSet/>
      <dgm:spPr/>
      <dgm:t>
        <a:bodyPr/>
        <a:lstStyle/>
        <a:p>
          <a:endParaRPr lang="pt-BR"/>
        </a:p>
      </dgm:t>
    </dgm:pt>
    <dgm:pt modelId="{0E0D5914-9733-4438-B53B-E54AED87BD25}">
      <dgm:prSet custT="1"/>
      <dgm:spPr>
        <a:solidFill>
          <a:schemeClr val="accent6">
            <a:lumMod val="75000"/>
          </a:schemeClr>
        </a:solidFill>
      </dgm:spPr>
      <dgm:t>
        <a:bodyPr/>
        <a:lstStyle/>
        <a:p>
          <a:r>
            <a:rPr lang="pt-BR" sz="900" b="1"/>
            <a:t>DESENVOLVIMENTO</a:t>
          </a:r>
        </a:p>
      </dgm:t>
    </dgm:pt>
    <dgm:pt modelId="{D8EA48FB-2A30-458D-BF2E-504D6379A563}" type="sibTrans" cxnId="{4A2D8755-0CFA-4659-993A-B10BB913460D}">
      <dgm:prSet/>
      <dgm:spPr/>
      <dgm:t>
        <a:bodyPr/>
        <a:lstStyle/>
        <a:p>
          <a:endParaRPr lang="pt-BR"/>
        </a:p>
      </dgm:t>
    </dgm:pt>
    <dgm:pt modelId="{C025D0B3-3453-4AB2-8C0D-9A93251A872D}" type="parTrans" cxnId="{4A2D8755-0CFA-4659-993A-B10BB913460D}">
      <dgm:prSet/>
      <dgm:spPr/>
      <dgm:t>
        <a:bodyPr/>
        <a:lstStyle/>
        <a:p>
          <a:endParaRPr lang="pt-BR"/>
        </a:p>
      </dgm:t>
    </dgm:pt>
    <dgm:pt modelId="{90431E3C-4F42-4628-B684-A96161BFF430}" type="pres">
      <dgm:prSet presAssocID="{0CFB7DD9-0DA5-4E4C-8DA3-9F1B6119F4C6}" presName="hierChild1" presStyleCnt="0">
        <dgm:presLayoutVars>
          <dgm:orgChart val="1"/>
          <dgm:chPref val="1"/>
          <dgm:dir/>
          <dgm:animOne val="branch"/>
          <dgm:animLvl val="lvl"/>
          <dgm:resizeHandles/>
        </dgm:presLayoutVars>
      </dgm:prSet>
      <dgm:spPr/>
    </dgm:pt>
    <dgm:pt modelId="{0A189367-43EC-4441-BA08-750B899E9469}" type="pres">
      <dgm:prSet presAssocID="{0102E4FE-20A8-44CB-9044-37DB2019EEF7}" presName="hierRoot1" presStyleCnt="0">
        <dgm:presLayoutVars>
          <dgm:hierBranch val="init"/>
        </dgm:presLayoutVars>
      </dgm:prSet>
      <dgm:spPr/>
    </dgm:pt>
    <dgm:pt modelId="{360B80A0-E040-4231-A03C-DB4C44D4BEFB}" type="pres">
      <dgm:prSet presAssocID="{0102E4FE-20A8-44CB-9044-37DB2019EEF7}" presName="rootComposite1" presStyleCnt="0"/>
      <dgm:spPr/>
    </dgm:pt>
    <dgm:pt modelId="{2D883808-430E-40D8-8B07-302E85302A34}" type="pres">
      <dgm:prSet presAssocID="{0102E4FE-20A8-44CB-9044-37DB2019EEF7}" presName="rootText1" presStyleLbl="node0" presStyleIdx="0" presStyleCnt="1" custScaleX="150162" custScaleY="128812" custLinFactNeighborX="8505" custLinFactNeighborY="-45330">
        <dgm:presLayoutVars>
          <dgm:chPref val="3"/>
        </dgm:presLayoutVars>
      </dgm:prSet>
      <dgm:spPr/>
    </dgm:pt>
    <dgm:pt modelId="{9E54A725-AB28-4B64-8844-9F2951F2F7A0}" type="pres">
      <dgm:prSet presAssocID="{0102E4FE-20A8-44CB-9044-37DB2019EEF7}" presName="rootConnector1" presStyleLbl="node1" presStyleIdx="0" presStyleCnt="0"/>
      <dgm:spPr/>
    </dgm:pt>
    <dgm:pt modelId="{7F944FE0-D2A2-405B-BDFF-D1897631706E}" type="pres">
      <dgm:prSet presAssocID="{0102E4FE-20A8-44CB-9044-37DB2019EEF7}" presName="hierChild2" presStyleCnt="0"/>
      <dgm:spPr/>
    </dgm:pt>
    <dgm:pt modelId="{7BA6A4CA-F40E-4826-9E97-95062F5DD647}" type="pres">
      <dgm:prSet presAssocID="{D6922E7D-1806-4E3F-8FA5-876C5E53C8A8}" presName="Name37" presStyleLbl="parChTrans1D2" presStyleIdx="0" presStyleCnt="11"/>
      <dgm:spPr/>
    </dgm:pt>
    <dgm:pt modelId="{92667419-A898-4795-9C0E-361368D04859}" type="pres">
      <dgm:prSet presAssocID="{8D244D8F-C792-40BC-A511-7DE39E45E194}" presName="hierRoot2" presStyleCnt="0">
        <dgm:presLayoutVars>
          <dgm:hierBranch val="init"/>
        </dgm:presLayoutVars>
      </dgm:prSet>
      <dgm:spPr/>
    </dgm:pt>
    <dgm:pt modelId="{AAE10948-D9BD-4DD1-83D8-C8238129D30B}" type="pres">
      <dgm:prSet presAssocID="{8D244D8F-C792-40BC-A511-7DE39E45E194}" presName="rootComposite" presStyleCnt="0"/>
      <dgm:spPr/>
    </dgm:pt>
    <dgm:pt modelId="{4C9AEEA8-806B-4221-A8CF-497F84C39D63}" type="pres">
      <dgm:prSet presAssocID="{8D244D8F-C792-40BC-A511-7DE39E45E194}" presName="rootText" presStyleLbl="node2" presStyleIdx="0" presStyleCnt="11" custScaleX="76938" custLinFactNeighborX="-2261">
        <dgm:presLayoutVars>
          <dgm:chPref val="3"/>
        </dgm:presLayoutVars>
      </dgm:prSet>
      <dgm:spPr/>
    </dgm:pt>
    <dgm:pt modelId="{CFC31A14-C94F-4A30-A37D-372AB6BB600E}" type="pres">
      <dgm:prSet presAssocID="{8D244D8F-C792-40BC-A511-7DE39E45E194}" presName="rootConnector" presStyleLbl="node2" presStyleIdx="0" presStyleCnt="11"/>
      <dgm:spPr/>
    </dgm:pt>
    <dgm:pt modelId="{CFE7259F-6958-4278-B532-D5FC1DF0D989}" type="pres">
      <dgm:prSet presAssocID="{8D244D8F-C792-40BC-A511-7DE39E45E194}" presName="hierChild4" presStyleCnt="0"/>
      <dgm:spPr/>
    </dgm:pt>
    <dgm:pt modelId="{0DBA4C10-E38C-4A57-BDCF-A02983AC86EA}" type="pres">
      <dgm:prSet presAssocID="{B5B99BBF-342F-4A4E-BF02-3E97606E944D}" presName="Name37" presStyleLbl="parChTrans1D3" presStyleIdx="0" presStyleCnt="29"/>
      <dgm:spPr/>
    </dgm:pt>
    <dgm:pt modelId="{F7237C1A-2CFF-4D51-9968-643427BC722B}" type="pres">
      <dgm:prSet presAssocID="{B6389D6D-8AE5-4B3C-9BF6-CF7D2B974EDD}" presName="hierRoot2" presStyleCnt="0">
        <dgm:presLayoutVars>
          <dgm:hierBranch val="init"/>
        </dgm:presLayoutVars>
      </dgm:prSet>
      <dgm:spPr/>
    </dgm:pt>
    <dgm:pt modelId="{1F57570A-EEE3-4AFE-93E6-A976FA9C51FD}" type="pres">
      <dgm:prSet presAssocID="{B6389D6D-8AE5-4B3C-9BF6-CF7D2B974EDD}" presName="rootComposite" presStyleCnt="0"/>
      <dgm:spPr/>
    </dgm:pt>
    <dgm:pt modelId="{9E9FE827-52A4-46D9-ADB2-E6FCF0B9E008}" type="pres">
      <dgm:prSet presAssocID="{B6389D6D-8AE5-4B3C-9BF6-CF7D2B974EDD}" presName="rootText" presStyleLbl="node3" presStyleIdx="0" presStyleCnt="29">
        <dgm:presLayoutVars>
          <dgm:chPref val="3"/>
        </dgm:presLayoutVars>
      </dgm:prSet>
      <dgm:spPr/>
    </dgm:pt>
    <dgm:pt modelId="{45896F72-DCDE-404C-8364-99656B71FFED}" type="pres">
      <dgm:prSet presAssocID="{B6389D6D-8AE5-4B3C-9BF6-CF7D2B974EDD}" presName="rootConnector" presStyleLbl="node3" presStyleIdx="0" presStyleCnt="29"/>
      <dgm:spPr/>
    </dgm:pt>
    <dgm:pt modelId="{09EFDB36-E5B0-4407-8281-5D4F42D16FE0}" type="pres">
      <dgm:prSet presAssocID="{B6389D6D-8AE5-4B3C-9BF6-CF7D2B974EDD}" presName="hierChild4" presStyleCnt="0"/>
      <dgm:spPr/>
    </dgm:pt>
    <dgm:pt modelId="{2F132628-32FC-4EEB-A2B9-3E7324D5716F}" type="pres">
      <dgm:prSet presAssocID="{B6389D6D-8AE5-4B3C-9BF6-CF7D2B974EDD}" presName="hierChild5" presStyleCnt="0"/>
      <dgm:spPr/>
    </dgm:pt>
    <dgm:pt modelId="{7BD786B8-780D-4619-A5E3-357F0EDAE2E4}" type="pres">
      <dgm:prSet presAssocID="{CB1CFF7C-42F1-4A09-8B31-0773BB970F24}" presName="Name37" presStyleLbl="parChTrans1D3" presStyleIdx="1" presStyleCnt="29"/>
      <dgm:spPr/>
    </dgm:pt>
    <dgm:pt modelId="{FF449168-822C-418C-9CA1-B101D096CF90}" type="pres">
      <dgm:prSet presAssocID="{939AE253-A7E2-4EBA-B997-5913C2301F5A}" presName="hierRoot2" presStyleCnt="0">
        <dgm:presLayoutVars>
          <dgm:hierBranch val="init"/>
        </dgm:presLayoutVars>
      </dgm:prSet>
      <dgm:spPr/>
    </dgm:pt>
    <dgm:pt modelId="{FDC422C0-CC05-449C-8033-C172FF181AD5}" type="pres">
      <dgm:prSet presAssocID="{939AE253-A7E2-4EBA-B997-5913C2301F5A}" presName="rootComposite" presStyleCnt="0"/>
      <dgm:spPr/>
    </dgm:pt>
    <dgm:pt modelId="{CF1CE0D6-2000-45B7-B412-882350AF6F25}" type="pres">
      <dgm:prSet presAssocID="{939AE253-A7E2-4EBA-B997-5913C2301F5A}" presName="rootText" presStyleLbl="node3" presStyleIdx="1" presStyleCnt="29">
        <dgm:presLayoutVars>
          <dgm:chPref val="3"/>
        </dgm:presLayoutVars>
      </dgm:prSet>
      <dgm:spPr/>
    </dgm:pt>
    <dgm:pt modelId="{E332D8F5-24D1-438A-A88D-967661A9895B}" type="pres">
      <dgm:prSet presAssocID="{939AE253-A7E2-4EBA-B997-5913C2301F5A}" presName="rootConnector" presStyleLbl="node3" presStyleIdx="1" presStyleCnt="29"/>
      <dgm:spPr/>
    </dgm:pt>
    <dgm:pt modelId="{0945C784-5EB4-4170-B227-C25054AACF2B}" type="pres">
      <dgm:prSet presAssocID="{939AE253-A7E2-4EBA-B997-5913C2301F5A}" presName="hierChild4" presStyleCnt="0"/>
      <dgm:spPr/>
    </dgm:pt>
    <dgm:pt modelId="{795D698A-1823-4D67-A0CE-2685E9EB05B4}" type="pres">
      <dgm:prSet presAssocID="{939AE253-A7E2-4EBA-B997-5913C2301F5A}" presName="hierChild5" presStyleCnt="0"/>
      <dgm:spPr/>
    </dgm:pt>
    <dgm:pt modelId="{A210511E-8313-4F28-990A-429088BA3B3F}" type="pres">
      <dgm:prSet presAssocID="{D433E747-1E2C-41A0-B616-42B31870972F}" presName="Name37" presStyleLbl="parChTrans1D3" presStyleIdx="2" presStyleCnt="29"/>
      <dgm:spPr/>
    </dgm:pt>
    <dgm:pt modelId="{662A03C9-0D7D-4233-877E-650105F68909}" type="pres">
      <dgm:prSet presAssocID="{6ED531EE-0BC7-4118-B43F-7D8D436633A8}" presName="hierRoot2" presStyleCnt="0">
        <dgm:presLayoutVars>
          <dgm:hierBranch val="init"/>
        </dgm:presLayoutVars>
      </dgm:prSet>
      <dgm:spPr/>
    </dgm:pt>
    <dgm:pt modelId="{3F4608E4-44E4-4C09-98F7-7A5196AC4942}" type="pres">
      <dgm:prSet presAssocID="{6ED531EE-0BC7-4118-B43F-7D8D436633A8}" presName="rootComposite" presStyleCnt="0"/>
      <dgm:spPr/>
    </dgm:pt>
    <dgm:pt modelId="{422A5DCC-F310-4179-AC5C-3A5AA9AB3509}" type="pres">
      <dgm:prSet presAssocID="{6ED531EE-0BC7-4118-B43F-7D8D436633A8}" presName="rootText" presStyleLbl="node3" presStyleIdx="2" presStyleCnt="29">
        <dgm:presLayoutVars>
          <dgm:chPref val="3"/>
        </dgm:presLayoutVars>
      </dgm:prSet>
      <dgm:spPr/>
    </dgm:pt>
    <dgm:pt modelId="{D3BF38C4-1821-483A-AF26-C595ECE3E4B8}" type="pres">
      <dgm:prSet presAssocID="{6ED531EE-0BC7-4118-B43F-7D8D436633A8}" presName="rootConnector" presStyleLbl="node3" presStyleIdx="2" presStyleCnt="29"/>
      <dgm:spPr/>
    </dgm:pt>
    <dgm:pt modelId="{1A67025E-7A13-4535-954B-C51FC9C3959C}" type="pres">
      <dgm:prSet presAssocID="{6ED531EE-0BC7-4118-B43F-7D8D436633A8}" presName="hierChild4" presStyleCnt="0"/>
      <dgm:spPr/>
    </dgm:pt>
    <dgm:pt modelId="{F58C77E7-E7F0-45FB-BD57-CF2EA3EB7FD9}" type="pres">
      <dgm:prSet presAssocID="{6ED531EE-0BC7-4118-B43F-7D8D436633A8}" presName="hierChild5" presStyleCnt="0"/>
      <dgm:spPr/>
    </dgm:pt>
    <dgm:pt modelId="{529C72D2-9829-43B0-839C-5E27E8D16E0A}" type="pres">
      <dgm:prSet presAssocID="{8D244D8F-C792-40BC-A511-7DE39E45E194}" presName="hierChild5" presStyleCnt="0"/>
      <dgm:spPr/>
    </dgm:pt>
    <dgm:pt modelId="{3CD38DC8-3D55-42DE-AD09-72BD953ED7FB}" type="pres">
      <dgm:prSet presAssocID="{E2EA6942-20E6-4D51-99FA-C77C5E746936}" presName="Name37" presStyleLbl="parChTrans1D2" presStyleIdx="1" presStyleCnt="11"/>
      <dgm:spPr/>
    </dgm:pt>
    <dgm:pt modelId="{596C2A0E-FAAA-4C19-8F64-3F40373672C6}" type="pres">
      <dgm:prSet presAssocID="{809B22AA-EB2B-4C4F-82C3-E979FD4CF357}" presName="hierRoot2" presStyleCnt="0">
        <dgm:presLayoutVars>
          <dgm:hierBranch val="init"/>
        </dgm:presLayoutVars>
      </dgm:prSet>
      <dgm:spPr/>
    </dgm:pt>
    <dgm:pt modelId="{E1CC195C-D0F1-48C8-A703-25242680FC8E}" type="pres">
      <dgm:prSet presAssocID="{809B22AA-EB2B-4C4F-82C3-E979FD4CF357}" presName="rootComposite" presStyleCnt="0"/>
      <dgm:spPr/>
    </dgm:pt>
    <dgm:pt modelId="{D170E32D-A43F-4CAB-A215-C289F970862B}" type="pres">
      <dgm:prSet presAssocID="{809B22AA-EB2B-4C4F-82C3-E979FD4CF357}" presName="rootText" presStyleLbl="node2" presStyleIdx="1" presStyleCnt="11" custScaleX="100441" custLinFactNeighborY="-2145">
        <dgm:presLayoutVars>
          <dgm:chPref val="3"/>
        </dgm:presLayoutVars>
      </dgm:prSet>
      <dgm:spPr/>
    </dgm:pt>
    <dgm:pt modelId="{18E317F2-7CF2-4DFD-9CA0-4A1E8C4ACD68}" type="pres">
      <dgm:prSet presAssocID="{809B22AA-EB2B-4C4F-82C3-E979FD4CF357}" presName="rootConnector" presStyleLbl="node2" presStyleIdx="1" presStyleCnt="11"/>
      <dgm:spPr/>
    </dgm:pt>
    <dgm:pt modelId="{C4D3DF99-A745-4C02-9204-B9053A10435D}" type="pres">
      <dgm:prSet presAssocID="{809B22AA-EB2B-4C4F-82C3-E979FD4CF357}" presName="hierChild4" presStyleCnt="0"/>
      <dgm:spPr/>
    </dgm:pt>
    <dgm:pt modelId="{B935FBDA-E2AB-49CA-8CF4-754257839CD4}" type="pres">
      <dgm:prSet presAssocID="{9792CF75-292C-4BCA-A2CF-C2FA68F001BD}" presName="Name37" presStyleLbl="parChTrans1D3" presStyleIdx="3" presStyleCnt="29"/>
      <dgm:spPr/>
    </dgm:pt>
    <dgm:pt modelId="{7E32E146-A64A-4070-B7C5-30A5B73717C1}" type="pres">
      <dgm:prSet presAssocID="{97F38E1B-8B0A-4C1C-BB0E-8DC2824BBDEE}" presName="hierRoot2" presStyleCnt="0">
        <dgm:presLayoutVars>
          <dgm:hierBranch val="init"/>
        </dgm:presLayoutVars>
      </dgm:prSet>
      <dgm:spPr/>
    </dgm:pt>
    <dgm:pt modelId="{94CCBCF2-D29F-4CE4-9F38-9A0619F3E636}" type="pres">
      <dgm:prSet presAssocID="{97F38E1B-8B0A-4C1C-BB0E-8DC2824BBDEE}" presName="rootComposite" presStyleCnt="0"/>
      <dgm:spPr/>
    </dgm:pt>
    <dgm:pt modelId="{8D28DA9C-651E-493C-AEB4-8DE7C4670A76}" type="pres">
      <dgm:prSet presAssocID="{97F38E1B-8B0A-4C1C-BB0E-8DC2824BBDEE}" presName="rootText" presStyleLbl="node3" presStyleIdx="3" presStyleCnt="29">
        <dgm:presLayoutVars>
          <dgm:chPref val="3"/>
        </dgm:presLayoutVars>
      </dgm:prSet>
      <dgm:spPr/>
    </dgm:pt>
    <dgm:pt modelId="{CAC4091A-492F-459B-840C-5F8135FD499F}" type="pres">
      <dgm:prSet presAssocID="{97F38E1B-8B0A-4C1C-BB0E-8DC2824BBDEE}" presName="rootConnector" presStyleLbl="node3" presStyleIdx="3" presStyleCnt="29"/>
      <dgm:spPr/>
    </dgm:pt>
    <dgm:pt modelId="{3F86CAF0-921B-456C-9C30-B205CF6EDFAB}" type="pres">
      <dgm:prSet presAssocID="{97F38E1B-8B0A-4C1C-BB0E-8DC2824BBDEE}" presName="hierChild4" presStyleCnt="0"/>
      <dgm:spPr/>
    </dgm:pt>
    <dgm:pt modelId="{AAF5925E-A439-4734-BFA7-0209F1E034E0}" type="pres">
      <dgm:prSet presAssocID="{B7B3C6AE-DFBB-46A9-8CF1-A1BD803B9409}" presName="Name37" presStyleLbl="parChTrans1D4" presStyleIdx="0" presStyleCnt="15"/>
      <dgm:spPr/>
    </dgm:pt>
    <dgm:pt modelId="{E4ACDD6B-0637-4F25-B692-478DE4CD1E8A}" type="pres">
      <dgm:prSet presAssocID="{86AF350A-A785-4BDD-9C13-1E90196942B4}" presName="hierRoot2" presStyleCnt="0">
        <dgm:presLayoutVars>
          <dgm:hierBranch val="init"/>
        </dgm:presLayoutVars>
      </dgm:prSet>
      <dgm:spPr/>
    </dgm:pt>
    <dgm:pt modelId="{D26411F1-3269-4B53-8632-15971C6AADE7}" type="pres">
      <dgm:prSet presAssocID="{86AF350A-A785-4BDD-9C13-1E90196942B4}" presName="rootComposite" presStyleCnt="0"/>
      <dgm:spPr/>
    </dgm:pt>
    <dgm:pt modelId="{72AC346F-2F4E-444E-8C03-BD2A3B5A48DE}" type="pres">
      <dgm:prSet presAssocID="{86AF350A-A785-4BDD-9C13-1E90196942B4}" presName="rootText" presStyleLbl="node4" presStyleIdx="0" presStyleCnt="15">
        <dgm:presLayoutVars>
          <dgm:chPref val="3"/>
        </dgm:presLayoutVars>
      </dgm:prSet>
      <dgm:spPr/>
    </dgm:pt>
    <dgm:pt modelId="{61BD3AC5-6CF6-4CA9-B7DA-7A4EF7D20243}" type="pres">
      <dgm:prSet presAssocID="{86AF350A-A785-4BDD-9C13-1E90196942B4}" presName="rootConnector" presStyleLbl="node4" presStyleIdx="0" presStyleCnt="15"/>
      <dgm:spPr/>
    </dgm:pt>
    <dgm:pt modelId="{417D4C16-6F47-45C2-BFA4-54B9F621B68C}" type="pres">
      <dgm:prSet presAssocID="{86AF350A-A785-4BDD-9C13-1E90196942B4}" presName="hierChild4" presStyleCnt="0"/>
      <dgm:spPr/>
    </dgm:pt>
    <dgm:pt modelId="{6E904246-481F-4578-AD91-764D29E6D564}" type="pres">
      <dgm:prSet presAssocID="{E0114C20-3A39-4242-9BD4-7E3A42C0079E}" presName="Name37" presStyleLbl="parChTrans1D4" presStyleIdx="1" presStyleCnt="15"/>
      <dgm:spPr/>
    </dgm:pt>
    <dgm:pt modelId="{3F7226FF-427D-42A9-8B80-A751CA140B09}" type="pres">
      <dgm:prSet presAssocID="{95643014-9364-4ED7-A23C-11FF87634454}" presName="hierRoot2" presStyleCnt="0">
        <dgm:presLayoutVars>
          <dgm:hierBranch val="init"/>
        </dgm:presLayoutVars>
      </dgm:prSet>
      <dgm:spPr/>
    </dgm:pt>
    <dgm:pt modelId="{0A246336-23C1-4668-9722-4DF692D3DE4E}" type="pres">
      <dgm:prSet presAssocID="{95643014-9364-4ED7-A23C-11FF87634454}" presName="rootComposite" presStyleCnt="0"/>
      <dgm:spPr/>
    </dgm:pt>
    <dgm:pt modelId="{3C105CD6-BA5F-4296-9ADF-C21FEB294665}" type="pres">
      <dgm:prSet presAssocID="{95643014-9364-4ED7-A23C-11FF87634454}" presName="rootText" presStyleLbl="node4" presStyleIdx="1" presStyleCnt="15">
        <dgm:presLayoutVars>
          <dgm:chPref val="3"/>
        </dgm:presLayoutVars>
      </dgm:prSet>
      <dgm:spPr/>
    </dgm:pt>
    <dgm:pt modelId="{385FC982-988E-4302-98BB-D7460D5505EC}" type="pres">
      <dgm:prSet presAssocID="{95643014-9364-4ED7-A23C-11FF87634454}" presName="rootConnector" presStyleLbl="node4" presStyleIdx="1" presStyleCnt="15"/>
      <dgm:spPr/>
    </dgm:pt>
    <dgm:pt modelId="{FDB3ABF0-E8E8-4CD0-853A-E48F1654371B}" type="pres">
      <dgm:prSet presAssocID="{95643014-9364-4ED7-A23C-11FF87634454}" presName="hierChild4" presStyleCnt="0"/>
      <dgm:spPr/>
    </dgm:pt>
    <dgm:pt modelId="{ECAD813E-F69E-4493-8464-0EFC6AD53AB3}" type="pres">
      <dgm:prSet presAssocID="{95643014-9364-4ED7-A23C-11FF87634454}" presName="hierChild5" presStyleCnt="0"/>
      <dgm:spPr/>
    </dgm:pt>
    <dgm:pt modelId="{2BE8EFB2-4965-4609-B1C2-1F507D9025F0}" type="pres">
      <dgm:prSet presAssocID="{4661214A-AF71-4F01-B5B7-3BAE62E034B1}" presName="Name37" presStyleLbl="parChTrans1D4" presStyleIdx="2" presStyleCnt="15"/>
      <dgm:spPr/>
    </dgm:pt>
    <dgm:pt modelId="{F775338A-84A5-49A8-AF6A-9BA8BA981152}" type="pres">
      <dgm:prSet presAssocID="{85C9611E-0EC3-4C90-8306-3D5D07DB36F8}" presName="hierRoot2" presStyleCnt="0">
        <dgm:presLayoutVars>
          <dgm:hierBranch val="init"/>
        </dgm:presLayoutVars>
      </dgm:prSet>
      <dgm:spPr/>
    </dgm:pt>
    <dgm:pt modelId="{A9AA2BB9-9808-4E50-B65D-A1D192D8B270}" type="pres">
      <dgm:prSet presAssocID="{85C9611E-0EC3-4C90-8306-3D5D07DB36F8}" presName="rootComposite" presStyleCnt="0"/>
      <dgm:spPr/>
    </dgm:pt>
    <dgm:pt modelId="{539C43EC-88FB-4101-BFC8-2FBEBDCB1CFF}" type="pres">
      <dgm:prSet presAssocID="{85C9611E-0EC3-4C90-8306-3D5D07DB36F8}" presName="rootText" presStyleLbl="node4" presStyleIdx="2" presStyleCnt="15">
        <dgm:presLayoutVars>
          <dgm:chPref val="3"/>
        </dgm:presLayoutVars>
      </dgm:prSet>
      <dgm:spPr/>
    </dgm:pt>
    <dgm:pt modelId="{37EBA9EA-1D7F-4485-92CD-286075E5D657}" type="pres">
      <dgm:prSet presAssocID="{85C9611E-0EC3-4C90-8306-3D5D07DB36F8}" presName="rootConnector" presStyleLbl="node4" presStyleIdx="2" presStyleCnt="15"/>
      <dgm:spPr/>
    </dgm:pt>
    <dgm:pt modelId="{57E2BC50-0927-4908-AF16-2DC1A7ABAA91}" type="pres">
      <dgm:prSet presAssocID="{85C9611E-0EC3-4C90-8306-3D5D07DB36F8}" presName="hierChild4" presStyleCnt="0"/>
      <dgm:spPr/>
    </dgm:pt>
    <dgm:pt modelId="{7122834D-968C-4F51-82BF-8F187CEE81CA}" type="pres">
      <dgm:prSet presAssocID="{85C9611E-0EC3-4C90-8306-3D5D07DB36F8}" presName="hierChild5" presStyleCnt="0"/>
      <dgm:spPr/>
    </dgm:pt>
    <dgm:pt modelId="{B03BF5AB-02EB-4D85-9282-46894415A7C4}" type="pres">
      <dgm:prSet presAssocID="{DCA270CC-2A75-49E7-89B8-4B3AC5996B9D}" presName="Name37" presStyleLbl="parChTrans1D4" presStyleIdx="3" presStyleCnt="15"/>
      <dgm:spPr/>
    </dgm:pt>
    <dgm:pt modelId="{4EA350DD-0CE0-4931-8C0F-DBE036A1099D}" type="pres">
      <dgm:prSet presAssocID="{C2EFE54E-DDBB-4937-AAAF-B8E47F74D697}" presName="hierRoot2" presStyleCnt="0">
        <dgm:presLayoutVars>
          <dgm:hierBranch val="init"/>
        </dgm:presLayoutVars>
      </dgm:prSet>
      <dgm:spPr/>
    </dgm:pt>
    <dgm:pt modelId="{CD2F0EF6-63DD-4908-8B36-685448BC48E8}" type="pres">
      <dgm:prSet presAssocID="{C2EFE54E-DDBB-4937-AAAF-B8E47F74D697}" presName="rootComposite" presStyleCnt="0"/>
      <dgm:spPr/>
    </dgm:pt>
    <dgm:pt modelId="{042C9D99-30E8-4921-9EB9-EBE3CC59CEFA}" type="pres">
      <dgm:prSet presAssocID="{C2EFE54E-DDBB-4937-AAAF-B8E47F74D697}" presName="rootText" presStyleLbl="node4" presStyleIdx="3" presStyleCnt="15">
        <dgm:presLayoutVars>
          <dgm:chPref val="3"/>
        </dgm:presLayoutVars>
      </dgm:prSet>
      <dgm:spPr/>
    </dgm:pt>
    <dgm:pt modelId="{3EDBFA9C-F817-479F-9192-D74217624230}" type="pres">
      <dgm:prSet presAssocID="{C2EFE54E-DDBB-4937-AAAF-B8E47F74D697}" presName="rootConnector" presStyleLbl="node4" presStyleIdx="3" presStyleCnt="15"/>
      <dgm:spPr/>
    </dgm:pt>
    <dgm:pt modelId="{B4F1833F-49EE-4B21-B613-A1E34BCE673C}" type="pres">
      <dgm:prSet presAssocID="{C2EFE54E-DDBB-4937-AAAF-B8E47F74D697}" presName="hierChild4" presStyleCnt="0"/>
      <dgm:spPr/>
    </dgm:pt>
    <dgm:pt modelId="{7B2A69D4-674A-4532-8C2D-F390A2FA9622}" type="pres">
      <dgm:prSet presAssocID="{C2EFE54E-DDBB-4937-AAAF-B8E47F74D697}" presName="hierChild5" presStyleCnt="0"/>
      <dgm:spPr/>
    </dgm:pt>
    <dgm:pt modelId="{B894DCF4-CFDB-4655-8C23-F6D06D7FB345}" type="pres">
      <dgm:prSet presAssocID="{2DEF8671-DD1F-49D2-9C9F-4553E51583D7}" presName="Name37" presStyleLbl="parChTrans1D4" presStyleIdx="4" presStyleCnt="15"/>
      <dgm:spPr/>
    </dgm:pt>
    <dgm:pt modelId="{BA7890AD-C28B-4184-A8D6-6EDBD113CB8A}" type="pres">
      <dgm:prSet presAssocID="{0B7A893D-34B0-412E-AAF0-3244FF37E62F}" presName="hierRoot2" presStyleCnt="0">
        <dgm:presLayoutVars>
          <dgm:hierBranch val="init"/>
        </dgm:presLayoutVars>
      </dgm:prSet>
      <dgm:spPr/>
    </dgm:pt>
    <dgm:pt modelId="{C7694567-091A-4EF9-A3C2-2AF6B9A0305A}" type="pres">
      <dgm:prSet presAssocID="{0B7A893D-34B0-412E-AAF0-3244FF37E62F}" presName="rootComposite" presStyleCnt="0"/>
      <dgm:spPr/>
    </dgm:pt>
    <dgm:pt modelId="{D7E2BE4B-D731-4C2D-BA0A-37C902784000}" type="pres">
      <dgm:prSet presAssocID="{0B7A893D-34B0-412E-AAF0-3244FF37E62F}" presName="rootText" presStyleLbl="node4" presStyleIdx="4" presStyleCnt="15">
        <dgm:presLayoutVars>
          <dgm:chPref val="3"/>
        </dgm:presLayoutVars>
      </dgm:prSet>
      <dgm:spPr/>
    </dgm:pt>
    <dgm:pt modelId="{9DEDF8A8-C04F-4AC1-8A19-9C5D980141EF}" type="pres">
      <dgm:prSet presAssocID="{0B7A893D-34B0-412E-AAF0-3244FF37E62F}" presName="rootConnector" presStyleLbl="node4" presStyleIdx="4" presStyleCnt="15"/>
      <dgm:spPr/>
    </dgm:pt>
    <dgm:pt modelId="{1DE648D8-AE03-4D1A-A2BC-9B57B681966C}" type="pres">
      <dgm:prSet presAssocID="{0B7A893D-34B0-412E-AAF0-3244FF37E62F}" presName="hierChild4" presStyleCnt="0"/>
      <dgm:spPr/>
    </dgm:pt>
    <dgm:pt modelId="{100DADC4-F030-4864-A9B4-A0917383493F}" type="pres">
      <dgm:prSet presAssocID="{0B7A893D-34B0-412E-AAF0-3244FF37E62F}" presName="hierChild5" presStyleCnt="0"/>
      <dgm:spPr/>
    </dgm:pt>
    <dgm:pt modelId="{8361F233-B12E-43F6-BC39-A98D94AE39A7}" type="pres">
      <dgm:prSet presAssocID="{DC6688E7-45CF-4D5C-9D56-6B7EDCF265A6}" presName="Name37" presStyleLbl="parChTrans1D4" presStyleIdx="5" presStyleCnt="15"/>
      <dgm:spPr/>
    </dgm:pt>
    <dgm:pt modelId="{DE9A41E4-3923-40A4-9CC8-1B1A5C09A77A}" type="pres">
      <dgm:prSet presAssocID="{EB3954B5-74F4-4D11-9DFF-EA78507987CB}" presName="hierRoot2" presStyleCnt="0">
        <dgm:presLayoutVars>
          <dgm:hierBranch val="init"/>
        </dgm:presLayoutVars>
      </dgm:prSet>
      <dgm:spPr/>
    </dgm:pt>
    <dgm:pt modelId="{B7719617-0E46-40B1-ADB6-32270E389581}" type="pres">
      <dgm:prSet presAssocID="{EB3954B5-74F4-4D11-9DFF-EA78507987CB}" presName="rootComposite" presStyleCnt="0"/>
      <dgm:spPr/>
    </dgm:pt>
    <dgm:pt modelId="{85AD923B-4E2C-411D-9E05-6D278E6E3C31}" type="pres">
      <dgm:prSet presAssocID="{EB3954B5-74F4-4D11-9DFF-EA78507987CB}" presName="rootText" presStyleLbl="node4" presStyleIdx="5" presStyleCnt="15">
        <dgm:presLayoutVars>
          <dgm:chPref val="3"/>
        </dgm:presLayoutVars>
      </dgm:prSet>
      <dgm:spPr/>
    </dgm:pt>
    <dgm:pt modelId="{C9DB3AA9-5EBE-4CDD-923A-16B2DED554F2}" type="pres">
      <dgm:prSet presAssocID="{EB3954B5-74F4-4D11-9DFF-EA78507987CB}" presName="rootConnector" presStyleLbl="node4" presStyleIdx="5" presStyleCnt="15"/>
      <dgm:spPr/>
    </dgm:pt>
    <dgm:pt modelId="{5B4607DF-B053-49BD-89A1-C23BB12F949D}" type="pres">
      <dgm:prSet presAssocID="{EB3954B5-74F4-4D11-9DFF-EA78507987CB}" presName="hierChild4" presStyleCnt="0"/>
      <dgm:spPr/>
    </dgm:pt>
    <dgm:pt modelId="{2D502DF0-43F9-4645-90C9-9E29C2A8A8BF}" type="pres">
      <dgm:prSet presAssocID="{EB3954B5-74F4-4D11-9DFF-EA78507987CB}" presName="hierChild5" presStyleCnt="0"/>
      <dgm:spPr/>
    </dgm:pt>
    <dgm:pt modelId="{A304A998-311C-42E3-BC67-14561F45BC79}" type="pres">
      <dgm:prSet presAssocID="{86AF350A-A785-4BDD-9C13-1E90196942B4}" presName="hierChild5" presStyleCnt="0"/>
      <dgm:spPr/>
    </dgm:pt>
    <dgm:pt modelId="{45AC5175-69A5-4135-B79C-12AD4A58E1A7}" type="pres">
      <dgm:prSet presAssocID="{97F38E1B-8B0A-4C1C-BB0E-8DC2824BBDEE}" presName="hierChild5" presStyleCnt="0"/>
      <dgm:spPr/>
    </dgm:pt>
    <dgm:pt modelId="{8F47595E-1F20-4F5E-BE70-5CDDFE438157}" type="pres">
      <dgm:prSet presAssocID="{809B22AA-EB2B-4C4F-82C3-E979FD4CF357}" presName="hierChild5" presStyleCnt="0"/>
      <dgm:spPr/>
    </dgm:pt>
    <dgm:pt modelId="{146AE877-ED15-459B-B13B-AF077FBB1040}" type="pres">
      <dgm:prSet presAssocID="{DE3A69AF-6A99-44DF-9639-EBEE5AEFB1D1}" presName="Name37" presStyleLbl="parChTrans1D2" presStyleIdx="2" presStyleCnt="11"/>
      <dgm:spPr/>
    </dgm:pt>
    <dgm:pt modelId="{D8BE7065-D2EC-4787-8FFC-B61F79EEC39D}" type="pres">
      <dgm:prSet presAssocID="{4D29C077-1695-455C-9DAA-E15887E6F57B}" presName="hierRoot2" presStyleCnt="0">
        <dgm:presLayoutVars>
          <dgm:hierBranch val="init"/>
        </dgm:presLayoutVars>
      </dgm:prSet>
      <dgm:spPr/>
    </dgm:pt>
    <dgm:pt modelId="{71363FA2-6923-417F-B55E-201974467DF6}" type="pres">
      <dgm:prSet presAssocID="{4D29C077-1695-455C-9DAA-E15887E6F57B}" presName="rootComposite" presStyleCnt="0"/>
      <dgm:spPr/>
    </dgm:pt>
    <dgm:pt modelId="{5368EF9E-E26F-497A-B704-8C2CE5D835FD}" type="pres">
      <dgm:prSet presAssocID="{4D29C077-1695-455C-9DAA-E15887E6F57B}" presName="rootText" presStyleLbl="node2" presStyleIdx="2" presStyleCnt="11" custLinFactNeighborY="-2145">
        <dgm:presLayoutVars>
          <dgm:chPref val="3"/>
        </dgm:presLayoutVars>
      </dgm:prSet>
      <dgm:spPr/>
    </dgm:pt>
    <dgm:pt modelId="{05AACB28-368C-4D12-A4D8-69764BDEC4D2}" type="pres">
      <dgm:prSet presAssocID="{4D29C077-1695-455C-9DAA-E15887E6F57B}" presName="rootConnector" presStyleLbl="node2" presStyleIdx="2" presStyleCnt="11"/>
      <dgm:spPr/>
    </dgm:pt>
    <dgm:pt modelId="{6EB25563-D21F-483B-A064-03B79922792B}" type="pres">
      <dgm:prSet presAssocID="{4D29C077-1695-455C-9DAA-E15887E6F57B}" presName="hierChild4" presStyleCnt="0"/>
      <dgm:spPr/>
    </dgm:pt>
    <dgm:pt modelId="{1BDCF5C3-4938-4F7B-B883-DFE0EA2513F2}" type="pres">
      <dgm:prSet presAssocID="{F488A61D-44A8-43AF-8D4D-9D3A28823A7B}" presName="Name37" presStyleLbl="parChTrans1D3" presStyleIdx="4" presStyleCnt="29"/>
      <dgm:spPr/>
    </dgm:pt>
    <dgm:pt modelId="{D51C4435-04F6-4D3A-8AC9-28DE1618776D}" type="pres">
      <dgm:prSet presAssocID="{4EDFDD96-7D03-4644-B893-2DE9B7516A86}" presName="hierRoot2" presStyleCnt="0">
        <dgm:presLayoutVars>
          <dgm:hierBranch val="init"/>
        </dgm:presLayoutVars>
      </dgm:prSet>
      <dgm:spPr/>
    </dgm:pt>
    <dgm:pt modelId="{C8C3FF62-3F59-4D84-9B88-D6D2C6D0965C}" type="pres">
      <dgm:prSet presAssocID="{4EDFDD96-7D03-4644-B893-2DE9B7516A86}" presName="rootComposite" presStyleCnt="0"/>
      <dgm:spPr/>
    </dgm:pt>
    <dgm:pt modelId="{3CB81659-FE3C-423B-9CBD-B42FC5FE3EA0}" type="pres">
      <dgm:prSet presAssocID="{4EDFDD96-7D03-4644-B893-2DE9B7516A86}" presName="rootText" presStyleLbl="node3" presStyleIdx="4" presStyleCnt="29">
        <dgm:presLayoutVars>
          <dgm:chPref val="3"/>
        </dgm:presLayoutVars>
      </dgm:prSet>
      <dgm:spPr/>
    </dgm:pt>
    <dgm:pt modelId="{77CF87DA-CCF2-4C68-A6A1-315D38F06E97}" type="pres">
      <dgm:prSet presAssocID="{4EDFDD96-7D03-4644-B893-2DE9B7516A86}" presName="rootConnector" presStyleLbl="node3" presStyleIdx="4" presStyleCnt="29"/>
      <dgm:spPr/>
    </dgm:pt>
    <dgm:pt modelId="{9A131EBF-4F2C-4F30-929D-6EE9E0F9BCAA}" type="pres">
      <dgm:prSet presAssocID="{4EDFDD96-7D03-4644-B893-2DE9B7516A86}" presName="hierChild4" presStyleCnt="0"/>
      <dgm:spPr/>
    </dgm:pt>
    <dgm:pt modelId="{551EDF52-9700-4415-9C5E-2D5BBD97710A}" type="pres">
      <dgm:prSet presAssocID="{B3501234-EF80-4869-A279-C89BC86861D2}" presName="Name37" presStyleLbl="parChTrans1D4" presStyleIdx="6" presStyleCnt="15"/>
      <dgm:spPr/>
    </dgm:pt>
    <dgm:pt modelId="{DD393105-A334-4EB7-8239-C3EC22ABC35C}" type="pres">
      <dgm:prSet presAssocID="{E2EC6A85-58E6-4744-B75D-3324C60D8EE8}" presName="hierRoot2" presStyleCnt="0">
        <dgm:presLayoutVars>
          <dgm:hierBranch val="init"/>
        </dgm:presLayoutVars>
      </dgm:prSet>
      <dgm:spPr/>
    </dgm:pt>
    <dgm:pt modelId="{34E0B7B8-A9FE-4637-BA33-0D34A4985CFE}" type="pres">
      <dgm:prSet presAssocID="{E2EC6A85-58E6-4744-B75D-3324C60D8EE8}" presName="rootComposite" presStyleCnt="0"/>
      <dgm:spPr/>
    </dgm:pt>
    <dgm:pt modelId="{07D3882F-C235-4ADF-85FA-E879C777A8BD}" type="pres">
      <dgm:prSet presAssocID="{E2EC6A85-58E6-4744-B75D-3324C60D8EE8}" presName="rootText" presStyleLbl="node4" presStyleIdx="6" presStyleCnt="15">
        <dgm:presLayoutVars>
          <dgm:chPref val="3"/>
        </dgm:presLayoutVars>
      </dgm:prSet>
      <dgm:spPr/>
    </dgm:pt>
    <dgm:pt modelId="{4AFAFC3D-D935-4174-82BF-8097E9CC3978}" type="pres">
      <dgm:prSet presAssocID="{E2EC6A85-58E6-4744-B75D-3324C60D8EE8}" presName="rootConnector" presStyleLbl="node4" presStyleIdx="6" presStyleCnt="15"/>
      <dgm:spPr/>
    </dgm:pt>
    <dgm:pt modelId="{32762620-2305-4932-8569-3643D2BD0F19}" type="pres">
      <dgm:prSet presAssocID="{E2EC6A85-58E6-4744-B75D-3324C60D8EE8}" presName="hierChild4" presStyleCnt="0"/>
      <dgm:spPr/>
    </dgm:pt>
    <dgm:pt modelId="{8BC1F9E8-51D5-4381-8499-A60AB874E0FD}" type="pres">
      <dgm:prSet presAssocID="{E2EC6A85-58E6-4744-B75D-3324C60D8EE8}" presName="hierChild5" presStyleCnt="0"/>
      <dgm:spPr/>
    </dgm:pt>
    <dgm:pt modelId="{FB2DB3A0-B135-43F4-88C1-E9985DD92C2D}" type="pres">
      <dgm:prSet presAssocID="{622DEC80-7D3B-489F-A688-386A3BD66E46}" presName="Name37" presStyleLbl="parChTrans1D4" presStyleIdx="7" presStyleCnt="15"/>
      <dgm:spPr/>
    </dgm:pt>
    <dgm:pt modelId="{B2D79C74-D841-47CF-928E-3D8F67BB6CF4}" type="pres">
      <dgm:prSet presAssocID="{69233474-9CCA-431F-ADB6-8A9AC33B9697}" presName="hierRoot2" presStyleCnt="0">
        <dgm:presLayoutVars>
          <dgm:hierBranch val="init"/>
        </dgm:presLayoutVars>
      </dgm:prSet>
      <dgm:spPr/>
    </dgm:pt>
    <dgm:pt modelId="{D530D8F6-4633-4E2B-9D7F-07FE13465AD0}" type="pres">
      <dgm:prSet presAssocID="{69233474-9CCA-431F-ADB6-8A9AC33B9697}" presName="rootComposite" presStyleCnt="0"/>
      <dgm:spPr/>
    </dgm:pt>
    <dgm:pt modelId="{D7DDDDF0-F44F-4B11-B08B-89295DEA0D9B}" type="pres">
      <dgm:prSet presAssocID="{69233474-9CCA-431F-ADB6-8A9AC33B9697}" presName="rootText" presStyleLbl="node4" presStyleIdx="7" presStyleCnt="15">
        <dgm:presLayoutVars>
          <dgm:chPref val="3"/>
        </dgm:presLayoutVars>
      </dgm:prSet>
      <dgm:spPr/>
    </dgm:pt>
    <dgm:pt modelId="{3957C82B-EF44-4844-A580-BC3F07AD1AAA}" type="pres">
      <dgm:prSet presAssocID="{69233474-9CCA-431F-ADB6-8A9AC33B9697}" presName="rootConnector" presStyleLbl="node4" presStyleIdx="7" presStyleCnt="15"/>
      <dgm:spPr/>
    </dgm:pt>
    <dgm:pt modelId="{0754D7EF-BC43-404C-B8A6-6E2B1C6A9AE2}" type="pres">
      <dgm:prSet presAssocID="{69233474-9CCA-431F-ADB6-8A9AC33B9697}" presName="hierChild4" presStyleCnt="0"/>
      <dgm:spPr/>
    </dgm:pt>
    <dgm:pt modelId="{72B790DC-CD82-4BA6-8E1B-4F531F1D61F0}" type="pres">
      <dgm:prSet presAssocID="{69233474-9CCA-431F-ADB6-8A9AC33B9697}" presName="hierChild5" presStyleCnt="0"/>
      <dgm:spPr/>
    </dgm:pt>
    <dgm:pt modelId="{A5AD6A0B-6137-45FE-AEC3-274EDB22E7BE}" type="pres">
      <dgm:prSet presAssocID="{4EDFDD96-7D03-4644-B893-2DE9B7516A86}" presName="hierChild5" presStyleCnt="0"/>
      <dgm:spPr/>
    </dgm:pt>
    <dgm:pt modelId="{4E82E1CF-9093-4966-8BDC-BA30B6523B53}" type="pres">
      <dgm:prSet presAssocID="{16CD9583-BD21-4156-92D6-71CDB340D1AD}" presName="Name37" presStyleLbl="parChTrans1D3" presStyleIdx="5" presStyleCnt="29"/>
      <dgm:spPr/>
    </dgm:pt>
    <dgm:pt modelId="{6D4684D6-3049-41BE-9C43-0701009F3CD0}" type="pres">
      <dgm:prSet presAssocID="{141B889D-94F1-45C1-B73E-13B1197CCCF8}" presName="hierRoot2" presStyleCnt="0">
        <dgm:presLayoutVars>
          <dgm:hierBranch val="init"/>
        </dgm:presLayoutVars>
      </dgm:prSet>
      <dgm:spPr/>
    </dgm:pt>
    <dgm:pt modelId="{D575E6F6-8868-49B4-8B9A-094F6C77B41D}" type="pres">
      <dgm:prSet presAssocID="{141B889D-94F1-45C1-B73E-13B1197CCCF8}" presName="rootComposite" presStyleCnt="0"/>
      <dgm:spPr/>
    </dgm:pt>
    <dgm:pt modelId="{12FDCBF9-3BED-482D-906E-5A09DB8EAF1F}" type="pres">
      <dgm:prSet presAssocID="{141B889D-94F1-45C1-B73E-13B1197CCCF8}" presName="rootText" presStyleLbl="node3" presStyleIdx="5" presStyleCnt="29">
        <dgm:presLayoutVars>
          <dgm:chPref val="3"/>
        </dgm:presLayoutVars>
      </dgm:prSet>
      <dgm:spPr/>
    </dgm:pt>
    <dgm:pt modelId="{FC89D3C7-0538-47F7-AF35-0B577D30F034}" type="pres">
      <dgm:prSet presAssocID="{141B889D-94F1-45C1-B73E-13B1197CCCF8}" presName="rootConnector" presStyleLbl="node3" presStyleIdx="5" presStyleCnt="29"/>
      <dgm:spPr/>
    </dgm:pt>
    <dgm:pt modelId="{40C287F3-39F2-4A58-9655-CD0EF0D06F7B}" type="pres">
      <dgm:prSet presAssocID="{141B889D-94F1-45C1-B73E-13B1197CCCF8}" presName="hierChild4" presStyleCnt="0"/>
      <dgm:spPr/>
    </dgm:pt>
    <dgm:pt modelId="{169005B3-517D-446B-8623-5C28558CA7A7}" type="pres">
      <dgm:prSet presAssocID="{3D8434B0-DEC5-4689-B419-C2351767EFE8}" presName="Name37" presStyleLbl="parChTrans1D4" presStyleIdx="8" presStyleCnt="15"/>
      <dgm:spPr/>
    </dgm:pt>
    <dgm:pt modelId="{FA2189D4-0609-4BBD-B1A4-F50349B76580}" type="pres">
      <dgm:prSet presAssocID="{0AE7F9E1-765F-489C-8C16-C7BC49A797D9}" presName="hierRoot2" presStyleCnt="0">
        <dgm:presLayoutVars>
          <dgm:hierBranch val="init"/>
        </dgm:presLayoutVars>
      </dgm:prSet>
      <dgm:spPr/>
    </dgm:pt>
    <dgm:pt modelId="{95C8BA52-0A25-4B1B-9C1C-6FAD6F87853F}" type="pres">
      <dgm:prSet presAssocID="{0AE7F9E1-765F-489C-8C16-C7BC49A797D9}" presName="rootComposite" presStyleCnt="0"/>
      <dgm:spPr/>
    </dgm:pt>
    <dgm:pt modelId="{1E535ECD-9FA0-4E48-A66D-29FFB2AB3B70}" type="pres">
      <dgm:prSet presAssocID="{0AE7F9E1-765F-489C-8C16-C7BC49A797D9}" presName="rootText" presStyleLbl="node4" presStyleIdx="8" presStyleCnt="15">
        <dgm:presLayoutVars>
          <dgm:chPref val="3"/>
        </dgm:presLayoutVars>
      </dgm:prSet>
      <dgm:spPr/>
    </dgm:pt>
    <dgm:pt modelId="{A2F7DB0A-CD49-4EDD-B25D-FF7E00E87D85}" type="pres">
      <dgm:prSet presAssocID="{0AE7F9E1-765F-489C-8C16-C7BC49A797D9}" presName="rootConnector" presStyleLbl="node4" presStyleIdx="8" presStyleCnt="15"/>
      <dgm:spPr/>
    </dgm:pt>
    <dgm:pt modelId="{55C12E5E-D71A-41AF-B0EE-8DEB10EABF6C}" type="pres">
      <dgm:prSet presAssocID="{0AE7F9E1-765F-489C-8C16-C7BC49A797D9}" presName="hierChild4" presStyleCnt="0"/>
      <dgm:spPr/>
    </dgm:pt>
    <dgm:pt modelId="{E2A7F598-2A90-4FBC-9CCC-46032457887C}" type="pres">
      <dgm:prSet presAssocID="{0AE7F9E1-765F-489C-8C16-C7BC49A797D9}" presName="hierChild5" presStyleCnt="0"/>
      <dgm:spPr/>
    </dgm:pt>
    <dgm:pt modelId="{B1F44040-471C-47E1-AA4C-3975425FBF91}" type="pres">
      <dgm:prSet presAssocID="{88490267-DE7E-43ED-9BD4-B69E754A61AF}" presName="Name37" presStyleLbl="parChTrans1D4" presStyleIdx="9" presStyleCnt="15"/>
      <dgm:spPr/>
    </dgm:pt>
    <dgm:pt modelId="{C2D84DC7-5EF4-4BC8-9576-DED11C3A7DFD}" type="pres">
      <dgm:prSet presAssocID="{1FA32465-79CA-43E4-925C-FD9E6E9DB5C8}" presName="hierRoot2" presStyleCnt="0">
        <dgm:presLayoutVars>
          <dgm:hierBranch val="init"/>
        </dgm:presLayoutVars>
      </dgm:prSet>
      <dgm:spPr/>
    </dgm:pt>
    <dgm:pt modelId="{A5EFAD50-F422-4DD0-B7DB-428FBE8FC6A2}" type="pres">
      <dgm:prSet presAssocID="{1FA32465-79CA-43E4-925C-FD9E6E9DB5C8}" presName="rootComposite" presStyleCnt="0"/>
      <dgm:spPr/>
    </dgm:pt>
    <dgm:pt modelId="{0A7F2A46-750F-45A2-923B-D1292802EFDC}" type="pres">
      <dgm:prSet presAssocID="{1FA32465-79CA-43E4-925C-FD9E6E9DB5C8}" presName="rootText" presStyleLbl="node4" presStyleIdx="9" presStyleCnt="15">
        <dgm:presLayoutVars>
          <dgm:chPref val="3"/>
        </dgm:presLayoutVars>
      </dgm:prSet>
      <dgm:spPr/>
    </dgm:pt>
    <dgm:pt modelId="{5517D03E-AE9E-4827-A3FB-E1CF8BC3E098}" type="pres">
      <dgm:prSet presAssocID="{1FA32465-79CA-43E4-925C-FD9E6E9DB5C8}" presName="rootConnector" presStyleLbl="node4" presStyleIdx="9" presStyleCnt="15"/>
      <dgm:spPr/>
    </dgm:pt>
    <dgm:pt modelId="{C84665DD-42F1-4826-AAB6-D8630126BC8B}" type="pres">
      <dgm:prSet presAssocID="{1FA32465-79CA-43E4-925C-FD9E6E9DB5C8}" presName="hierChild4" presStyleCnt="0"/>
      <dgm:spPr/>
    </dgm:pt>
    <dgm:pt modelId="{D8899574-0656-4F1B-8027-B715745A0824}" type="pres">
      <dgm:prSet presAssocID="{1FA32465-79CA-43E4-925C-FD9E6E9DB5C8}" presName="hierChild5" presStyleCnt="0"/>
      <dgm:spPr/>
    </dgm:pt>
    <dgm:pt modelId="{4FF2B127-3DD1-49B2-A994-6E2D85102CCF}" type="pres">
      <dgm:prSet presAssocID="{141B889D-94F1-45C1-B73E-13B1197CCCF8}" presName="hierChild5" presStyleCnt="0"/>
      <dgm:spPr/>
    </dgm:pt>
    <dgm:pt modelId="{BC2296E3-678E-497E-9639-ED3DB6D9EADC}" type="pres">
      <dgm:prSet presAssocID="{4D29C077-1695-455C-9DAA-E15887E6F57B}" presName="hierChild5" presStyleCnt="0"/>
      <dgm:spPr/>
    </dgm:pt>
    <dgm:pt modelId="{86920179-6629-4A58-BB26-F9023C6AB676}" type="pres">
      <dgm:prSet presAssocID="{C025D0B3-3453-4AB2-8C0D-9A93251A872D}" presName="Name37" presStyleLbl="parChTrans1D2" presStyleIdx="3" presStyleCnt="11"/>
      <dgm:spPr/>
    </dgm:pt>
    <dgm:pt modelId="{385AF64B-4878-49AF-BB34-3F012067394B}" type="pres">
      <dgm:prSet presAssocID="{0E0D5914-9733-4438-B53B-E54AED87BD25}" presName="hierRoot2" presStyleCnt="0">
        <dgm:presLayoutVars>
          <dgm:hierBranch val="init"/>
        </dgm:presLayoutVars>
      </dgm:prSet>
      <dgm:spPr/>
    </dgm:pt>
    <dgm:pt modelId="{068FD7B9-8011-48D2-A182-EBFC5AA118E2}" type="pres">
      <dgm:prSet presAssocID="{0E0D5914-9733-4438-B53B-E54AED87BD25}" presName="rootComposite" presStyleCnt="0"/>
      <dgm:spPr/>
    </dgm:pt>
    <dgm:pt modelId="{34D49AA9-33AD-4664-ADD5-58DB46EB9889}" type="pres">
      <dgm:prSet presAssocID="{0E0D5914-9733-4438-B53B-E54AED87BD25}" presName="rootText" presStyleLbl="node2" presStyleIdx="3" presStyleCnt="11" custScaleX="123866" custLinFactNeighborY="-2145">
        <dgm:presLayoutVars>
          <dgm:chPref val="3"/>
        </dgm:presLayoutVars>
      </dgm:prSet>
      <dgm:spPr/>
    </dgm:pt>
    <dgm:pt modelId="{FA21B6A8-6AD6-40C5-B832-097165E0AE14}" type="pres">
      <dgm:prSet presAssocID="{0E0D5914-9733-4438-B53B-E54AED87BD25}" presName="rootConnector" presStyleLbl="node2" presStyleIdx="3" presStyleCnt="11"/>
      <dgm:spPr/>
    </dgm:pt>
    <dgm:pt modelId="{7A9C32C9-16BF-4D3E-BDD1-44D79FD1AB24}" type="pres">
      <dgm:prSet presAssocID="{0E0D5914-9733-4438-B53B-E54AED87BD25}" presName="hierChild4" presStyleCnt="0"/>
      <dgm:spPr/>
    </dgm:pt>
    <dgm:pt modelId="{6AC18233-7434-428C-A2CE-9E3AFE243EA4}" type="pres">
      <dgm:prSet presAssocID="{8069AF01-BDAC-4439-9E0A-EA0793CC3F91}" presName="Name37" presStyleLbl="parChTrans1D3" presStyleIdx="6" presStyleCnt="29"/>
      <dgm:spPr/>
    </dgm:pt>
    <dgm:pt modelId="{EB24A0CA-CF3C-48F9-925F-67D055FC3E19}" type="pres">
      <dgm:prSet presAssocID="{D9DCBD92-CF2D-4FA3-9650-A94983E94475}" presName="hierRoot2" presStyleCnt="0">
        <dgm:presLayoutVars>
          <dgm:hierBranch val="init"/>
        </dgm:presLayoutVars>
      </dgm:prSet>
      <dgm:spPr/>
    </dgm:pt>
    <dgm:pt modelId="{4D6B7E68-7345-431E-88BB-893362ADA909}" type="pres">
      <dgm:prSet presAssocID="{D9DCBD92-CF2D-4FA3-9650-A94983E94475}" presName="rootComposite" presStyleCnt="0"/>
      <dgm:spPr/>
    </dgm:pt>
    <dgm:pt modelId="{DA2E93DC-BB1D-4564-889B-BA004AC786E0}" type="pres">
      <dgm:prSet presAssocID="{D9DCBD92-CF2D-4FA3-9650-A94983E94475}" presName="rootText" presStyleLbl="node3" presStyleIdx="6" presStyleCnt="29">
        <dgm:presLayoutVars>
          <dgm:chPref val="3"/>
        </dgm:presLayoutVars>
      </dgm:prSet>
      <dgm:spPr/>
    </dgm:pt>
    <dgm:pt modelId="{99E07EF1-2718-49C0-B549-73DEE2F71416}" type="pres">
      <dgm:prSet presAssocID="{D9DCBD92-CF2D-4FA3-9650-A94983E94475}" presName="rootConnector" presStyleLbl="node3" presStyleIdx="6" presStyleCnt="29"/>
      <dgm:spPr/>
    </dgm:pt>
    <dgm:pt modelId="{7B0E1761-D15E-4320-AA6E-52EBF3F2E66D}" type="pres">
      <dgm:prSet presAssocID="{D9DCBD92-CF2D-4FA3-9650-A94983E94475}" presName="hierChild4" presStyleCnt="0"/>
      <dgm:spPr/>
    </dgm:pt>
    <dgm:pt modelId="{D7968CA6-A26B-43C5-9036-51384CB0A177}" type="pres">
      <dgm:prSet presAssocID="{F26A6E32-5FBB-4CEF-BDB1-A0E805534581}" presName="Name37" presStyleLbl="parChTrans1D4" presStyleIdx="10" presStyleCnt="15"/>
      <dgm:spPr/>
    </dgm:pt>
    <dgm:pt modelId="{5E1D58CE-2EAC-4297-BEA4-14F9FB70B9DC}" type="pres">
      <dgm:prSet presAssocID="{DBA8929B-46BA-404E-A3FA-7CF913B88C72}" presName="hierRoot2" presStyleCnt="0">
        <dgm:presLayoutVars>
          <dgm:hierBranch val="init"/>
        </dgm:presLayoutVars>
      </dgm:prSet>
      <dgm:spPr/>
    </dgm:pt>
    <dgm:pt modelId="{F8FCB22D-B5A4-4DFA-B1D0-C9BC424E0291}" type="pres">
      <dgm:prSet presAssocID="{DBA8929B-46BA-404E-A3FA-7CF913B88C72}" presName="rootComposite" presStyleCnt="0"/>
      <dgm:spPr/>
    </dgm:pt>
    <dgm:pt modelId="{47D7B08E-C006-4337-AFA5-B2B6AB5330E7}" type="pres">
      <dgm:prSet presAssocID="{DBA8929B-46BA-404E-A3FA-7CF913B88C72}" presName="rootText" presStyleLbl="node4" presStyleIdx="10" presStyleCnt="15">
        <dgm:presLayoutVars>
          <dgm:chPref val="3"/>
        </dgm:presLayoutVars>
      </dgm:prSet>
      <dgm:spPr/>
    </dgm:pt>
    <dgm:pt modelId="{30BF917B-30C7-4244-BCF5-B6609692DE4D}" type="pres">
      <dgm:prSet presAssocID="{DBA8929B-46BA-404E-A3FA-7CF913B88C72}" presName="rootConnector" presStyleLbl="node4" presStyleIdx="10" presStyleCnt="15"/>
      <dgm:spPr/>
    </dgm:pt>
    <dgm:pt modelId="{CA706695-D83D-4307-9D43-2078468493DA}" type="pres">
      <dgm:prSet presAssocID="{DBA8929B-46BA-404E-A3FA-7CF913B88C72}" presName="hierChild4" presStyleCnt="0"/>
      <dgm:spPr/>
    </dgm:pt>
    <dgm:pt modelId="{B34B29DD-FFDA-4380-8BFE-760AF2CEBD42}" type="pres">
      <dgm:prSet presAssocID="{DBA8929B-46BA-404E-A3FA-7CF913B88C72}" presName="hierChild5" presStyleCnt="0"/>
      <dgm:spPr/>
    </dgm:pt>
    <dgm:pt modelId="{0E0991F3-3934-47BB-929B-D5CDA7641990}" type="pres">
      <dgm:prSet presAssocID="{304499FC-178F-457B-9D5B-07C633CC1703}" presName="Name37" presStyleLbl="parChTrans1D4" presStyleIdx="11" presStyleCnt="15"/>
      <dgm:spPr/>
    </dgm:pt>
    <dgm:pt modelId="{329A036F-A499-429D-A48A-A92561947667}" type="pres">
      <dgm:prSet presAssocID="{C2E9E08C-C520-4750-9A46-099873830BC9}" presName="hierRoot2" presStyleCnt="0">
        <dgm:presLayoutVars>
          <dgm:hierBranch val="init"/>
        </dgm:presLayoutVars>
      </dgm:prSet>
      <dgm:spPr/>
    </dgm:pt>
    <dgm:pt modelId="{AE82D68E-D9B7-46FF-85E9-8B70C6683B55}" type="pres">
      <dgm:prSet presAssocID="{C2E9E08C-C520-4750-9A46-099873830BC9}" presName="rootComposite" presStyleCnt="0"/>
      <dgm:spPr/>
    </dgm:pt>
    <dgm:pt modelId="{43E1BAD0-C612-479E-A76D-9ADDAE663A0D}" type="pres">
      <dgm:prSet presAssocID="{C2E9E08C-C520-4750-9A46-099873830BC9}" presName="rootText" presStyleLbl="node4" presStyleIdx="11" presStyleCnt="15">
        <dgm:presLayoutVars>
          <dgm:chPref val="3"/>
        </dgm:presLayoutVars>
      </dgm:prSet>
      <dgm:spPr/>
    </dgm:pt>
    <dgm:pt modelId="{C3AE13EC-AD65-415B-91FB-22FE48785A3E}" type="pres">
      <dgm:prSet presAssocID="{C2E9E08C-C520-4750-9A46-099873830BC9}" presName="rootConnector" presStyleLbl="node4" presStyleIdx="11" presStyleCnt="15"/>
      <dgm:spPr/>
    </dgm:pt>
    <dgm:pt modelId="{2C38C1EE-8865-4C5D-A418-8541DB06CDA8}" type="pres">
      <dgm:prSet presAssocID="{C2E9E08C-C520-4750-9A46-099873830BC9}" presName="hierChild4" presStyleCnt="0"/>
      <dgm:spPr/>
    </dgm:pt>
    <dgm:pt modelId="{8FB92146-00F4-4711-B047-DF4AF7DA2428}" type="pres">
      <dgm:prSet presAssocID="{C2E9E08C-C520-4750-9A46-099873830BC9}" presName="hierChild5" presStyleCnt="0"/>
      <dgm:spPr/>
    </dgm:pt>
    <dgm:pt modelId="{61A6C384-661D-4488-AD5D-768B4A947FBD}" type="pres">
      <dgm:prSet presAssocID="{D9DCBD92-CF2D-4FA3-9650-A94983E94475}" presName="hierChild5" presStyleCnt="0"/>
      <dgm:spPr/>
    </dgm:pt>
    <dgm:pt modelId="{3A9512E9-E1C5-4380-BA7C-8E54B5E137DF}" type="pres">
      <dgm:prSet presAssocID="{1182CA2F-4565-428E-AE54-DA4AC822DEC1}" presName="Name37" presStyleLbl="parChTrans1D3" presStyleIdx="7" presStyleCnt="29"/>
      <dgm:spPr/>
    </dgm:pt>
    <dgm:pt modelId="{075A8305-3775-48CC-A7D3-4320ADDF26A5}" type="pres">
      <dgm:prSet presAssocID="{D5E38E4B-FED5-4A0A-B8AA-8728BED387A3}" presName="hierRoot2" presStyleCnt="0">
        <dgm:presLayoutVars>
          <dgm:hierBranch val="init"/>
        </dgm:presLayoutVars>
      </dgm:prSet>
      <dgm:spPr/>
    </dgm:pt>
    <dgm:pt modelId="{914A0770-4145-43FC-8249-A757D3507335}" type="pres">
      <dgm:prSet presAssocID="{D5E38E4B-FED5-4A0A-B8AA-8728BED387A3}" presName="rootComposite" presStyleCnt="0"/>
      <dgm:spPr/>
    </dgm:pt>
    <dgm:pt modelId="{4CB3CC10-420D-4678-B4A5-F650FAA65CFC}" type="pres">
      <dgm:prSet presAssocID="{D5E38E4B-FED5-4A0A-B8AA-8728BED387A3}" presName="rootText" presStyleLbl="node3" presStyleIdx="7" presStyleCnt="29">
        <dgm:presLayoutVars>
          <dgm:chPref val="3"/>
        </dgm:presLayoutVars>
      </dgm:prSet>
      <dgm:spPr/>
    </dgm:pt>
    <dgm:pt modelId="{E962E456-3173-4AC8-9388-5565756FFDF6}" type="pres">
      <dgm:prSet presAssocID="{D5E38E4B-FED5-4A0A-B8AA-8728BED387A3}" presName="rootConnector" presStyleLbl="node3" presStyleIdx="7" presStyleCnt="29"/>
      <dgm:spPr/>
    </dgm:pt>
    <dgm:pt modelId="{7E0C7BB9-5BB2-4E5A-B8D7-6F7CFC60ED3A}" type="pres">
      <dgm:prSet presAssocID="{D5E38E4B-FED5-4A0A-B8AA-8728BED387A3}" presName="hierChild4" presStyleCnt="0"/>
      <dgm:spPr/>
    </dgm:pt>
    <dgm:pt modelId="{C53932D4-51E7-41F5-AE16-C6CBB114DFEA}" type="pres">
      <dgm:prSet presAssocID="{E5DFCF2D-8524-4D8E-AB8B-E3229044C96F}" presName="Name37" presStyleLbl="parChTrans1D4" presStyleIdx="12" presStyleCnt="15"/>
      <dgm:spPr/>
    </dgm:pt>
    <dgm:pt modelId="{79CB2B5B-3697-4993-BCA7-F0EA057118BB}" type="pres">
      <dgm:prSet presAssocID="{B3F45023-E1E3-43C0-B67F-AD1E7AC51078}" presName="hierRoot2" presStyleCnt="0">
        <dgm:presLayoutVars>
          <dgm:hierBranch val="init"/>
        </dgm:presLayoutVars>
      </dgm:prSet>
      <dgm:spPr/>
    </dgm:pt>
    <dgm:pt modelId="{72A685EF-7D18-4EA0-BAEB-26A2161DFE0B}" type="pres">
      <dgm:prSet presAssocID="{B3F45023-E1E3-43C0-B67F-AD1E7AC51078}" presName="rootComposite" presStyleCnt="0"/>
      <dgm:spPr/>
    </dgm:pt>
    <dgm:pt modelId="{4AD3C1C4-D9EA-4B51-B2F8-F5F336E1219A}" type="pres">
      <dgm:prSet presAssocID="{B3F45023-E1E3-43C0-B67F-AD1E7AC51078}" presName="rootText" presStyleLbl="node4" presStyleIdx="12" presStyleCnt="15">
        <dgm:presLayoutVars>
          <dgm:chPref val="3"/>
        </dgm:presLayoutVars>
      </dgm:prSet>
      <dgm:spPr/>
    </dgm:pt>
    <dgm:pt modelId="{4FD3DBF8-676D-4E03-B8F9-806C982C4A66}" type="pres">
      <dgm:prSet presAssocID="{B3F45023-E1E3-43C0-B67F-AD1E7AC51078}" presName="rootConnector" presStyleLbl="node4" presStyleIdx="12" presStyleCnt="15"/>
      <dgm:spPr/>
    </dgm:pt>
    <dgm:pt modelId="{2E82E7AF-352D-4745-8180-60B75AAE4DAE}" type="pres">
      <dgm:prSet presAssocID="{B3F45023-E1E3-43C0-B67F-AD1E7AC51078}" presName="hierChild4" presStyleCnt="0"/>
      <dgm:spPr/>
    </dgm:pt>
    <dgm:pt modelId="{FB51DC32-34A1-4F42-91BE-E05D99339116}" type="pres">
      <dgm:prSet presAssocID="{B3F45023-E1E3-43C0-B67F-AD1E7AC51078}" presName="hierChild5" presStyleCnt="0"/>
      <dgm:spPr/>
    </dgm:pt>
    <dgm:pt modelId="{C3FAA0F3-7CCC-449C-A82C-F68F70EE100B}" type="pres">
      <dgm:prSet presAssocID="{C550F39E-3BA4-4EAC-9784-E4F9E4C6F36F}" presName="Name37" presStyleLbl="parChTrans1D4" presStyleIdx="13" presStyleCnt="15"/>
      <dgm:spPr/>
    </dgm:pt>
    <dgm:pt modelId="{092F2FFF-9E60-49E0-9D67-A2B2110FF0CC}" type="pres">
      <dgm:prSet presAssocID="{971055BB-A4A3-40DF-B506-54605DDFB45E}" presName="hierRoot2" presStyleCnt="0">
        <dgm:presLayoutVars>
          <dgm:hierBranch val="init"/>
        </dgm:presLayoutVars>
      </dgm:prSet>
      <dgm:spPr/>
    </dgm:pt>
    <dgm:pt modelId="{82F8FC69-1226-4888-89BA-50A29818B23D}" type="pres">
      <dgm:prSet presAssocID="{971055BB-A4A3-40DF-B506-54605DDFB45E}" presName="rootComposite" presStyleCnt="0"/>
      <dgm:spPr/>
    </dgm:pt>
    <dgm:pt modelId="{8106893D-3A89-48AC-99BF-9C6C7C662C1D}" type="pres">
      <dgm:prSet presAssocID="{971055BB-A4A3-40DF-B506-54605DDFB45E}" presName="rootText" presStyleLbl="node4" presStyleIdx="13" presStyleCnt="15">
        <dgm:presLayoutVars>
          <dgm:chPref val="3"/>
        </dgm:presLayoutVars>
      </dgm:prSet>
      <dgm:spPr/>
    </dgm:pt>
    <dgm:pt modelId="{89AC791A-EBF2-49B2-B781-7B106A580939}" type="pres">
      <dgm:prSet presAssocID="{971055BB-A4A3-40DF-B506-54605DDFB45E}" presName="rootConnector" presStyleLbl="node4" presStyleIdx="13" presStyleCnt="15"/>
      <dgm:spPr/>
    </dgm:pt>
    <dgm:pt modelId="{73B52ECB-0E42-4B08-9326-A249EF79B2BA}" type="pres">
      <dgm:prSet presAssocID="{971055BB-A4A3-40DF-B506-54605DDFB45E}" presName="hierChild4" presStyleCnt="0"/>
      <dgm:spPr/>
    </dgm:pt>
    <dgm:pt modelId="{D5915785-2B2B-4B31-8D2C-A650A8284AD3}" type="pres">
      <dgm:prSet presAssocID="{971055BB-A4A3-40DF-B506-54605DDFB45E}" presName="hierChild5" presStyleCnt="0"/>
      <dgm:spPr/>
    </dgm:pt>
    <dgm:pt modelId="{DE31F5CA-37EC-464B-A0E1-9AB790904E0E}" type="pres">
      <dgm:prSet presAssocID="{6B85388F-71E1-413F-BC49-7FE13C99924D}" presName="Name37" presStyleLbl="parChTrans1D4" presStyleIdx="14" presStyleCnt="15"/>
      <dgm:spPr/>
    </dgm:pt>
    <dgm:pt modelId="{D467E7B8-8553-4750-9481-240B144A140A}" type="pres">
      <dgm:prSet presAssocID="{B71ED880-875D-465D-A2D5-7EFCE170B8F3}" presName="hierRoot2" presStyleCnt="0">
        <dgm:presLayoutVars>
          <dgm:hierBranch val="init"/>
        </dgm:presLayoutVars>
      </dgm:prSet>
      <dgm:spPr/>
    </dgm:pt>
    <dgm:pt modelId="{9020D338-B3A5-4F47-AA57-A04CF4F69450}" type="pres">
      <dgm:prSet presAssocID="{B71ED880-875D-465D-A2D5-7EFCE170B8F3}" presName="rootComposite" presStyleCnt="0"/>
      <dgm:spPr/>
    </dgm:pt>
    <dgm:pt modelId="{A197E7E5-E989-4B2D-830A-0E09071FB3E2}" type="pres">
      <dgm:prSet presAssocID="{B71ED880-875D-465D-A2D5-7EFCE170B8F3}" presName="rootText" presStyleLbl="node4" presStyleIdx="14" presStyleCnt="15">
        <dgm:presLayoutVars>
          <dgm:chPref val="3"/>
        </dgm:presLayoutVars>
      </dgm:prSet>
      <dgm:spPr/>
    </dgm:pt>
    <dgm:pt modelId="{1E232AB8-93DE-4845-B58C-D44BE96A7024}" type="pres">
      <dgm:prSet presAssocID="{B71ED880-875D-465D-A2D5-7EFCE170B8F3}" presName="rootConnector" presStyleLbl="node4" presStyleIdx="14" presStyleCnt="15"/>
      <dgm:spPr/>
    </dgm:pt>
    <dgm:pt modelId="{338CCFC0-5726-4721-B4E9-EF0DACB834A8}" type="pres">
      <dgm:prSet presAssocID="{B71ED880-875D-465D-A2D5-7EFCE170B8F3}" presName="hierChild4" presStyleCnt="0"/>
      <dgm:spPr/>
    </dgm:pt>
    <dgm:pt modelId="{62BFC6B3-6425-493A-83F9-96A151286232}" type="pres">
      <dgm:prSet presAssocID="{B71ED880-875D-465D-A2D5-7EFCE170B8F3}" presName="hierChild5" presStyleCnt="0"/>
      <dgm:spPr/>
    </dgm:pt>
    <dgm:pt modelId="{8CDCB8B8-B9F5-4D9F-938A-73D933864FEF}" type="pres">
      <dgm:prSet presAssocID="{D5E38E4B-FED5-4A0A-B8AA-8728BED387A3}" presName="hierChild5" presStyleCnt="0"/>
      <dgm:spPr/>
    </dgm:pt>
    <dgm:pt modelId="{03864CF9-7B53-4B08-8E2A-D1D6CFCD74A7}" type="pres">
      <dgm:prSet presAssocID="{0E0D5914-9733-4438-B53B-E54AED87BD25}" presName="hierChild5" presStyleCnt="0"/>
      <dgm:spPr/>
    </dgm:pt>
    <dgm:pt modelId="{58BDADBE-4402-4E6F-AB6F-E215C5F98D3B}" type="pres">
      <dgm:prSet presAssocID="{E9CCBF3B-F7D4-491B-83ED-166AFDD5DD30}" presName="Name37" presStyleLbl="parChTrans1D2" presStyleIdx="4" presStyleCnt="11"/>
      <dgm:spPr/>
    </dgm:pt>
    <dgm:pt modelId="{CAC55414-926B-4025-9709-C51A1C0F1BA3}" type="pres">
      <dgm:prSet presAssocID="{025397C8-278A-4FB7-A986-A1B487EA1563}" presName="hierRoot2" presStyleCnt="0">
        <dgm:presLayoutVars>
          <dgm:hierBranch val="init"/>
        </dgm:presLayoutVars>
      </dgm:prSet>
      <dgm:spPr/>
    </dgm:pt>
    <dgm:pt modelId="{84CEA5E3-2733-4C8E-82C3-8E65E6AC6A4F}" type="pres">
      <dgm:prSet presAssocID="{025397C8-278A-4FB7-A986-A1B487EA1563}" presName="rootComposite" presStyleCnt="0"/>
      <dgm:spPr/>
    </dgm:pt>
    <dgm:pt modelId="{0BF99F41-2B36-4860-856E-9B912562371F}" type="pres">
      <dgm:prSet presAssocID="{025397C8-278A-4FB7-A986-A1B487EA1563}" presName="rootText" presStyleLbl="node2" presStyleIdx="4" presStyleCnt="11" custScaleX="111662" custLinFactNeighborY="-2145">
        <dgm:presLayoutVars>
          <dgm:chPref val="3"/>
        </dgm:presLayoutVars>
      </dgm:prSet>
      <dgm:spPr/>
    </dgm:pt>
    <dgm:pt modelId="{9BBA3CDE-9578-436B-BF71-4165D5256392}" type="pres">
      <dgm:prSet presAssocID="{025397C8-278A-4FB7-A986-A1B487EA1563}" presName="rootConnector" presStyleLbl="node2" presStyleIdx="4" presStyleCnt="11"/>
      <dgm:spPr/>
    </dgm:pt>
    <dgm:pt modelId="{30CBF445-3176-4871-AE74-8842DAE8EA77}" type="pres">
      <dgm:prSet presAssocID="{025397C8-278A-4FB7-A986-A1B487EA1563}" presName="hierChild4" presStyleCnt="0"/>
      <dgm:spPr/>
    </dgm:pt>
    <dgm:pt modelId="{56484EBF-27DD-4386-A0D0-1C14F44B1EE2}" type="pres">
      <dgm:prSet presAssocID="{F9922145-9B07-49CE-9FA6-B33C82D2B167}" presName="Name37" presStyleLbl="parChTrans1D3" presStyleIdx="8" presStyleCnt="29"/>
      <dgm:spPr/>
    </dgm:pt>
    <dgm:pt modelId="{E63EB971-3061-4937-AAFE-A9B15516E3B4}" type="pres">
      <dgm:prSet presAssocID="{E2157045-4CE0-40CE-9C58-F4043DF91E33}" presName="hierRoot2" presStyleCnt="0">
        <dgm:presLayoutVars>
          <dgm:hierBranch val="init"/>
        </dgm:presLayoutVars>
      </dgm:prSet>
      <dgm:spPr/>
    </dgm:pt>
    <dgm:pt modelId="{2036F450-66E3-430B-8CF0-2641100EEDE6}" type="pres">
      <dgm:prSet presAssocID="{E2157045-4CE0-40CE-9C58-F4043DF91E33}" presName="rootComposite" presStyleCnt="0"/>
      <dgm:spPr/>
    </dgm:pt>
    <dgm:pt modelId="{1B7F2636-2E39-4D22-BF8C-4574EEF2DA91}" type="pres">
      <dgm:prSet presAssocID="{E2157045-4CE0-40CE-9C58-F4043DF91E33}" presName="rootText" presStyleLbl="node3" presStyleIdx="8" presStyleCnt="29">
        <dgm:presLayoutVars>
          <dgm:chPref val="3"/>
        </dgm:presLayoutVars>
      </dgm:prSet>
      <dgm:spPr/>
    </dgm:pt>
    <dgm:pt modelId="{BE7BA4D1-2AE1-4EE2-9EB8-A1B10CF23D87}" type="pres">
      <dgm:prSet presAssocID="{E2157045-4CE0-40CE-9C58-F4043DF91E33}" presName="rootConnector" presStyleLbl="node3" presStyleIdx="8" presStyleCnt="29"/>
      <dgm:spPr/>
    </dgm:pt>
    <dgm:pt modelId="{FA9B1E33-E44D-439C-B94A-A4ACF77A3ABE}" type="pres">
      <dgm:prSet presAssocID="{E2157045-4CE0-40CE-9C58-F4043DF91E33}" presName="hierChild4" presStyleCnt="0"/>
      <dgm:spPr/>
    </dgm:pt>
    <dgm:pt modelId="{0D769C54-31F6-4E75-A1E5-34D1BB6F5B29}" type="pres">
      <dgm:prSet presAssocID="{E2157045-4CE0-40CE-9C58-F4043DF91E33}" presName="hierChild5" presStyleCnt="0"/>
      <dgm:spPr/>
    </dgm:pt>
    <dgm:pt modelId="{47A21D83-0961-4F83-B6CA-9111DF4BFE52}" type="pres">
      <dgm:prSet presAssocID="{7B0E8674-AF5F-4D43-BDCB-E4D39514593E}" presName="Name37" presStyleLbl="parChTrans1D3" presStyleIdx="9" presStyleCnt="29"/>
      <dgm:spPr/>
    </dgm:pt>
    <dgm:pt modelId="{27C8648E-06C7-41E1-AB85-24ADACB06DA0}" type="pres">
      <dgm:prSet presAssocID="{602FD50F-130C-4E3A-A16E-AF79EACA12AD}" presName="hierRoot2" presStyleCnt="0">
        <dgm:presLayoutVars>
          <dgm:hierBranch val="init"/>
        </dgm:presLayoutVars>
      </dgm:prSet>
      <dgm:spPr/>
    </dgm:pt>
    <dgm:pt modelId="{7FF5428D-C306-457D-B0CD-DBEC8B50A11D}" type="pres">
      <dgm:prSet presAssocID="{602FD50F-130C-4E3A-A16E-AF79EACA12AD}" presName="rootComposite" presStyleCnt="0"/>
      <dgm:spPr/>
    </dgm:pt>
    <dgm:pt modelId="{D2B32FE8-B300-4E27-B7E2-297F3F999D4E}" type="pres">
      <dgm:prSet presAssocID="{602FD50F-130C-4E3A-A16E-AF79EACA12AD}" presName="rootText" presStyleLbl="node3" presStyleIdx="9" presStyleCnt="29">
        <dgm:presLayoutVars>
          <dgm:chPref val="3"/>
        </dgm:presLayoutVars>
      </dgm:prSet>
      <dgm:spPr/>
    </dgm:pt>
    <dgm:pt modelId="{9F318731-EE01-4314-B79B-B28E42749C00}" type="pres">
      <dgm:prSet presAssocID="{602FD50F-130C-4E3A-A16E-AF79EACA12AD}" presName="rootConnector" presStyleLbl="node3" presStyleIdx="9" presStyleCnt="29"/>
      <dgm:spPr/>
    </dgm:pt>
    <dgm:pt modelId="{81979E69-6B05-4EC7-AA2F-C9F76EBB2E89}" type="pres">
      <dgm:prSet presAssocID="{602FD50F-130C-4E3A-A16E-AF79EACA12AD}" presName="hierChild4" presStyleCnt="0"/>
      <dgm:spPr/>
    </dgm:pt>
    <dgm:pt modelId="{5C6B34E6-E6BA-4C7A-BDB3-963037826DD2}" type="pres">
      <dgm:prSet presAssocID="{602FD50F-130C-4E3A-A16E-AF79EACA12AD}" presName="hierChild5" presStyleCnt="0"/>
      <dgm:spPr/>
    </dgm:pt>
    <dgm:pt modelId="{807FA1CB-C069-4A68-9F5B-ACB3D4C2C7E0}" type="pres">
      <dgm:prSet presAssocID="{6EAA41E0-1525-42E3-A200-48C0FE921E72}" presName="Name37" presStyleLbl="parChTrans1D3" presStyleIdx="10" presStyleCnt="29"/>
      <dgm:spPr/>
    </dgm:pt>
    <dgm:pt modelId="{D5654D94-4063-4907-90AD-D557FD0FC7D8}" type="pres">
      <dgm:prSet presAssocID="{E5E9916D-2D7F-4C7A-A808-9D88F35BEC5A}" presName="hierRoot2" presStyleCnt="0">
        <dgm:presLayoutVars>
          <dgm:hierBranch val="init"/>
        </dgm:presLayoutVars>
      </dgm:prSet>
      <dgm:spPr/>
    </dgm:pt>
    <dgm:pt modelId="{3B29332E-B997-4913-82FD-7ADE58B37E18}" type="pres">
      <dgm:prSet presAssocID="{E5E9916D-2D7F-4C7A-A808-9D88F35BEC5A}" presName="rootComposite" presStyleCnt="0"/>
      <dgm:spPr/>
    </dgm:pt>
    <dgm:pt modelId="{0B77889B-AAC5-42E4-AC09-1DCA681BCE85}" type="pres">
      <dgm:prSet presAssocID="{E5E9916D-2D7F-4C7A-A808-9D88F35BEC5A}" presName="rootText" presStyleLbl="node3" presStyleIdx="10" presStyleCnt="29">
        <dgm:presLayoutVars>
          <dgm:chPref val="3"/>
        </dgm:presLayoutVars>
      </dgm:prSet>
      <dgm:spPr/>
    </dgm:pt>
    <dgm:pt modelId="{45F7E176-19D1-4464-8B8E-5DA14B89B110}" type="pres">
      <dgm:prSet presAssocID="{E5E9916D-2D7F-4C7A-A808-9D88F35BEC5A}" presName="rootConnector" presStyleLbl="node3" presStyleIdx="10" presStyleCnt="29"/>
      <dgm:spPr/>
    </dgm:pt>
    <dgm:pt modelId="{B4601DB9-3547-46B7-BCB9-99185FEAFD54}" type="pres">
      <dgm:prSet presAssocID="{E5E9916D-2D7F-4C7A-A808-9D88F35BEC5A}" presName="hierChild4" presStyleCnt="0"/>
      <dgm:spPr/>
    </dgm:pt>
    <dgm:pt modelId="{A7A4D252-5741-44E4-B403-B75C460BBA4E}" type="pres">
      <dgm:prSet presAssocID="{E5E9916D-2D7F-4C7A-A808-9D88F35BEC5A}" presName="hierChild5" presStyleCnt="0"/>
      <dgm:spPr/>
    </dgm:pt>
    <dgm:pt modelId="{06364E07-E5A5-47C1-8783-78E7393DD3C8}" type="pres">
      <dgm:prSet presAssocID="{025397C8-278A-4FB7-A986-A1B487EA1563}" presName="hierChild5" presStyleCnt="0"/>
      <dgm:spPr/>
    </dgm:pt>
    <dgm:pt modelId="{1CAB3E94-5855-4109-A43C-7105AD6B26D0}" type="pres">
      <dgm:prSet presAssocID="{3F1B0426-4EA2-44D9-B786-B19B57D5CDEA}" presName="Name37" presStyleLbl="parChTrans1D2" presStyleIdx="5" presStyleCnt="11"/>
      <dgm:spPr/>
    </dgm:pt>
    <dgm:pt modelId="{F9117AA4-539E-4EE3-B164-8174B0B40EC0}" type="pres">
      <dgm:prSet presAssocID="{8BB75C25-BB24-48E5-95A1-BDDD2AD67385}" presName="hierRoot2" presStyleCnt="0">
        <dgm:presLayoutVars>
          <dgm:hierBranch val="init"/>
        </dgm:presLayoutVars>
      </dgm:prSet>
      <dgm:spPr/>
    </dgm:pt>
    <dgm:pt modelId="{EAF88972-4E53-4659-94BD-910A092B9148}" type="pres">
      <dgm:prSet presAssocID="{8BB75C25-BB24-48E5-95A1-BDDD2AD67385}" presName="rootComposite" presStyleCnt="0"/>
      <dgm:spPr/>
    </dgm:pt>
    <dgm:pt modelId="{3A2A1C1F-CABC-4C98-B728-F262323AA994}" type="pres">
      <dgm:prSet presAssocID="{8BB75C25-BB24-48E5-95A1-BDDD2AD67385}" presName="rootText" presStyleLbl="node2" presStyleIdx="5" presStyleCnt="11" custScaleX="108132" custLinFactNeighborY="-2145">
        <dgm:presLayoutVars>
          <dgm:chPref val="3"/>
        </dgm:presLayoutVars>
      </dgm:prSet>
      <dgm:spPr/>
    </dgm:pt>
    <dgm:pt modelId="{0393B6C4-B4FB-4B6B-8DB5-37B9B19AABA4}" type="pres">
      <dgm:prSet presAssocID="{8BB75C25-BB24-48E5-95A1-BDDD2AD67385}" presName="rootConnector" presStyleLbl="node2" presStyleIdx="5" presStyleCnt="11"/>
      <dgm:spPr/>
    </dgm:pt>
    <dgm:pt modelId="{977D3813-5412-42A7-8B4D-5447A06AC163}" type="pres">
      <dgm:prSet presAssocID="{8BB75C25-BB24-48E5-95A1-BDDD2AD67385}" presName="hierChild4" presStyleCnt="0"/>
      <dgm:spPr/>
    </dgm:pt>
    <dgm:pt modelId="{78FA309A-083A-4C64-9477-7A3C69B2784C}" type="pres">
      <dgm:prSet presAssocID="{50F4CB47-0DB9-4B1E-9C75-49682DAC2BF7}" presName="Name37" presStyleLbl="parChTrans1D3" presStyleIdx="11" presStyleCnt="29"/>
      <dgm:spPr/>
    </dgm:pt>
    <dgm:pt modelId="{FEB3D90E-42D2-4AC7-9CB5-35870C299752}" type="pres">
      <dgm:prSet presAssocID="{D6F5CD79-D3E1-4B19-9C25-479267A00537}" presName="hierRoot2" presStyleCnt="0">
        <dgm:presLayoutVars>
          <dgm:hierBranch val="init"/>
        </dgm:presLayoutVars>
      </dgm:prSet>
      <dgm:spPr/>
    </dgm:pt>
    <dgm:pt modelId="{05080593-A2ED-4379-91EC-55846B4CD50F}" type="pres">
      <dgm:prSet presAssocID="{D6F5CD79-D3E1-4B19-9C25-479267A00537}" presName="rootComposite" presStyleCnt="0"/>
      <dgm:spPr/>
    </dgm:pt>
    <dgm:pt modelId="{6BAFA004-7462-4BB3-8CF7-8F0FAE532698}" type="pres">
      <dgm:prSet presAssocID="{D6F5CD79-D3E1-4B19-9C25-479267A00537}" presName="rootText" presStyleLbl="node3" presStyleIdx="11" presStyleCnt="29">
        <dgm:presLayoutVars>
          <dgm:chPref val="3"/>
        </dgm:presLayoutVars>
      </dgm:prSet>
      <dgm:spPr/>
    </dgm:pt>
    <dgm:pt modelId="{C0FC47CA-1988-459D-A473-7CA219823B7E}" type="pres">
      <dgm:prSet presAssocID="{D6F5CD79-D3E1-4B19-9C25-479267A00537}" presName="rootConnector" presStyleLbl="node3" presStyleIdx="11" presStyleCnt="29"/>
      <dgm:spPr/>
    </dgm:pt>
    <dgm:pt modelId="{7C2A8F67-B35D-46B9-8CDC-F1C514C733F2}" type="pres">
      <dgm:prSet presAssocID="{D6F5CD79-D3E1-4B19-9C25-479267A00537}" presName="hierChild4" presStyleCnt="0"/>
      <dgm:spPr/>
    </dgm:pt>
    <dgm:pt modelId="{0D223CD7-96A9-487A-A2F6-A9D48710FA30}" type="pres">
      <dgm:prSet presAssocID="{D6F5CD79-D3E1-4B19-9C25-479267A00537}" presName="hierChild5" presStyleCnt="0"/>
      <dgm:spPr/>
    </dgm:pt>
    <dgm:pt modelId="{679EAA6C-B7F9-45B1-B314-064B1497E450}" type="pres">
      <dgm:prSet presAssocID="{699FA3BB-5DDB-4810-8B78-2E6BCAFDC511}" presName="Name37" presStyleLbl="parChTrans1D3" presStyleIdx="12" presStyleCnt="29"/>
      <dgm:spPr/>
    </dgm:pt>
    <dgm:pt modelId="{A65D9E2F-0DF0-4606-978F-4875BE6D73B0}" type="pres">
      <dgm:prSet presAssocID="{9AC19E5E-60C4-4CCF-A20E-E4814BC2FE9B}" presName="hierRoot2" presStyleCnt="0">
        <dgm:presLayoutVars>
          <dgm:hierBranch val="init"/>
        </dgm:presLayoutVars>
      </dgm:prSet>
      <dgm:spPr/>
    </dgm:pt>
    <dgm:pt modelId="{6AF48B43-38E1-44C8-962D-77020524A35A}" type="pres">
      <dgm:prSet presAssocID="{9AC19E5E-60C4-4CCF-A20E-E4814BC2FE9B}" presName="rootComposite" presStyleCnt="0"/>
      <dgm:spPr/>
    </dgm:pt>
    <dgm:pt modelId="{8214640F-5D66-49B2-997F-5F320E255B10}" type="pres">
      <dgm:prSet presAssocID="{9AC19E5E-60C4-4CCF-A20E-E4814BC2FE9B}" presName="rootText" presStyleLbl="node3" presStyleIdx="12" presStyleCnt="29">
        <dgm:presLayoutVars>
          <dgm:chPref val="3"/>
        </dgm:presLayoutVars>
      </dgm:prSet>
      <dgm:spPr/>
    </dgm:pt>
    <dgm:pt modelId="{2B3E1A31-C7DC-446D-8815-E4813D3B56B4}" type="pres">
      <dgm:prSet presAssocID="{9AC19E5E-60C4-4CCF-A20E-E4814BC2FE9B}" presName="rootConnector" presStyleLbl="node3" presStyleIdx="12" presStyleCnt="29"/>
      <dgm:spPr/>
    </dgm:pt>
    <dgm:pt modelId="{360721A3-6E7E-4BAF-9E41-ACAEBFCAE7AE}" type="pres">
      <dgm:prSet presAssocID="{9AC19E5E-60C4-4CCF-A20E-E4814BC2FE9B}" presName="hierChild4" presStyleCnt="0"/>
      <dgm:spPr/>
    </dgm:pt>
    <dgm:pt modelId="{5DADC705-AA0C-45D6-969F-EB7762223FA5}" type="pres">
      <dgm:prSet presAssocID="{9AC19E5E-60C4-4CCF-A20E-E4814BC2FE9B}" presName="hierChild5" presStyleCnt="0"/>
      <dgm:spPr/>
    </dgm:pt>
    <dgm:pt modelId="{52777498-AA74-4FC2-849F-C626B27A45B4}" type="pres">
      <dgm:prSet presAssocID="{FDDB7EEE-AB02-47E4-B007-CB2A762CB7F9}" presName="Name37" presStyleLbl="parChTrans1D3" presStyleIdx="13" presStyleCnt="29"/>
      <dgm:spPr/>
    </dgm:pt>
    <dgm:pt modelId="{9ED8E56C-C0DA-4771-B928-9B8BF0AE6D47}" type="pres">
      <dgm:prSet presAssocID="{03DF699C-3176-485E-B584-5BC85EC703ED}" presName="hierRoot2" presStyleCnt="0">
        <dgm:presLayoutVars>
          <dgm:hierBranch val="init"/>
        </dgm:presLayoutVars>
      </dgm:prSet>
      <dgm:spPr/>
    </dgm:pt>
    <dgm:pt modelId="{866E3ED8-98DF-4099-A051-59DBAC27FD71}" type="pres">
      <dgm:prSet presAssocID="{03DF699C-3176-485E-B584-5BC85EC703ED}" presName="rootComposite" presStyleCnt="0"/>
      <dgm:spPr/>
    </dgm:pt>
    <dgm:pt modelId="{0CE7C8B4-F8E6-429D-8C4A-73E9D60DCB81}" type="pres">
      <dgm:prSet presAssocID="{03DF699C-3176-485E-B584-5BC85EC703ED}" presName="rootText" presStyleLbl="node3" presStyleIdx="13" presStyleCnt="29">
        <dgm:presLayoutVars>
          <dgm:chPref val="3"/>
        </dgm:presLayoutVars>
      </dgm:prSet>
      <dgm:spPr/>
    </dgm:pt>
    <dgm:pt modelId="{7568918C-FAD7-4B9E-9AFD-52C33DE56813}" type="pres">
      <dgm:prSet presAssocID="{03DF699C-3176-485E-B584-5BC85EC703ED}" presName="rootConnector" presStyleLbl="node3" presStyleIdx="13" presStyleCnt="29"/>
      <dgm:spPr/>
    </dgm:pt>
    <dgm:pt modelId="{E194985F-1898-4344-BB7D-4D437304ED4A}" type="pres">
      <dgm:prSet presAssocID="{03DF699C-3176-485E-B584-5BC85EC703ED}" presName="hierChild4" presStyleCnt="0"/>
      <dgm:spPr/>
    </dgm:pt>
    <dgm:pt modelId="{39195D1C-2951-43BA-8692-AC232BEFBB80}" type="pres">
      <dgm:prSet presAssocID="{03DF699C-3176-485E-B584-5BC85EC703ED}" presName="hierChild5" presStyleCnt="0"/>
      <dgm:spPr/>
    </dgm:pt>
    <dgm:pt modelId="{C8F70C14-7D89-44D7-BB48-3CFE36D1427B}" type="pres">
      <dgm:prSet presAssocID="{8BB75C25-BB24-48E5-95A1-BDDD2AD67385}" presName="hierChild5" presStyleCnt="0"/>
      <dgm:spPr/>
    </dgm:pt>
    <dgm:pt modelId="{82E60BB5-7FD2-4219-AE7C-29971BDCB4BB}" type="pres">
      <dgm:prSet presAssocID="{EBA54DFC-7FC3-4D85-9BDE-4CD347E65E6C}" presName="Name37" presStyleLbl="parChTrans1D2" presStyleIdx="6" presStyleCnt="11"/>
      <dgm:spPr/>
    </dgm:pt>
    <dgm:pt modelId="{A7850FBB-26BD-4AD2-A515-BD8832D8474B}" type="pres">
      <dgm:prSet presAssocID="{424E63FB-7A5E-47ED-BA8E-381C8BEA7B4D}" presName="hierRoot2" presStyleCnt="0">
        <dgm:presLayoutVars>
          <dgm:hierBranch val="init"/>
        </dgm:presLayoutVars>
      </dgm:prSet>
      <dgm:spPr/>
    </dgm:pt>
    <dgm:pt modelId="{4B54CD39-71A9-47B6-B354-9E2E224A5749}" type="pres">
      <dgm:prSet presAssocID="{424E63FB-7A5E-47ED-BA8E-381C8BEA7B4D}" presName="rootComposite" presStyleCnt="0"/>
      <dgm:spPr/>
    </dgm:pt>
    <dgm:pt modelId="{9A681887-5350-4EBE-BD43-C7E4297AB1BB}" type="pres">
      <dgm:prSet presAssocID="{424E63FB-7A5E-47ED-BA8E-381C8BEA7B4D}" presName="rootText" presStyleLbl="node2" presStyleIdx="6" presStyleCnt="11" custLinFactNeighborY="-2145">
        <dgm:presLayoutVars>
          <dgm:chPref val="3"/>
        </dgm:presLayoutVars>
      </dgm:prSet>
      <dgm:spPr/>
    </dgm:pt>
    <dgm:pt modelId="{14354306-A96D-4F9B-B8CB-A1923889D20A}" type="pres">
      <dgm:prSet presAssocID="{424E63FB-7A5E-47ED-BA8E-381C8BEA7B4D}" presName="rootConnector" presStyleLbl="node2" presStyleIdx="6" presStyleCnt="11"/>
      <dgm:spPr/>
    </dgm:pt>
    <dgm:pt modelId="{60EE685C-BCD2-4AF8-9900-DC7BE1C8761E}" type="pres">
      <dgm:prSet presAssocID="{424E63FB-7A5E-47ED-BA8E-381C8BEA7B4D}" presName="hierChild4" presStyleCnt="0"/>
      <dgm:spPr/>
    </dgm:pt>
    <dgm:pt modelId="{6185FE85-F6F3-47C8-BC28-BFB1B081D47E}" type="pres">
      <dgm:prSet presAssocID="{2EA6147A-4097-4648-9D83-1C15EC3F6E1C}" presName="Name37" presStyleLbl="parChTrans1D3" presStyleIdx="14" presStyleCnt="29"/>
      <dgm:spPr/>
    </dgm:pt>
    <dgm:pt modelId="{8116A3A0-2E0B-4D77-B5A2-B6CBCF7ADB15}" type="pres">
      <dgm:prSet presAssocID="{92338313-9670-40FB-8040-D372407E9060}" presName="hierRoot2" presStyleCnt="0">
        <dgm:presLayoutVars>
          <dgm:hierBranch val="init"/>
        </dgm:presLayoutVars>
      </dgm:prSet>
      <dgm:spPr/>
    </dgm:pt>
    <dgm:pt modelId="{81199921-AF0E-4033-957C-9C1B01D1C91B}" type="pres">
      <dgm:prSet presAssocID="{92338313-9670-40FB-8040-D372407E9060}" presName="rootComposite" presStyleCnt="0"/>
      <dgm:spPr/>
    </dgm:pt>
    <dgm:pt modelId="{A4073290-40FA-4447-A63D-A2A271E69369}" type="pres">
      <dgm:prSet presAssocID="{92338313-9670-40FB-8040-D372407E9060}" presName="rootText" presStyleLbl="node3" presStyleIdx="14" presStyleCnt="29">
        <dgm:presLayoutVars>
          <dgm:chPref val="3"/>
        </dgm:presLayoutVars>
      </dgm:prSet>
      <dgm:spPr/>
    </dgm:pt>
    <dgm:pt modelId="{8DE7EDC3-030C-4699-90B7-316F8F127CEA}" type="pres">
      <dgm:prSet presAssocID="{92338313-9670-40FB-8040-D372407E9060}" presName="rootConnector" presStyleLbl="node3" presStyleIdx="14" presStyleCnt="29"/>
      <dgm:spPr/>
    </dgm:pt>
    <dgm:pt modelId="{8EE53B03-8214-420C-9321-FEE828B4616A}" type="pres">
      <dgm:prSet presAssocID="{92338313-9670-40FB-8040-D372407E9060}" presName="hierChild4" presStyleCnt="0"/>
      <dgm:spPr/>
    </dgm:pt>
    <dgm:pt modelId="{CAF7050B-39E0-4667-AEBF-9E47F60B4B83}" type="pres">
      <dgm:prSet presAssocID="{92338313-9670-40FB-8040-D372407E9060}" presName="hierChild5" presStyleCnt="0"/>
      <dgm:spPr/>
    </dgm:pt>
    <dgm:pt modelId="{BA5F9E80-3D5F-4248-9517-86F91EE0B8E9}" type="pres">
      <dgm:prSet presAssocID="{D39B8DD9-864C-4EB7-9F89-A2AD12438034}" presName="Name37" presStyleLbl="parChTrans1D3" presStyleIdx="15" presStyleCnt="29"/>
      <dgm:spPr/>
    </dgm:pt>
    <dgm:pt modelId="{352CBE99-8B60-4598-A01C-4B9A74376B3F}" type="pres">
      <dgm:prSet presAssocID="{8AB7F64B-E4EA-46A3-93C5-530B1FAAB3A0}" presName="hierRoot2" presStyleCnt="0">
        <dgm:presLayoutVars>
          <dgm:hierBranch val="init"/>
        </dgm:presLayoutVars>
      </dgm:prSet>
      <dgm:spPr/>
    </dgm:pt>
    <dgm:pt modelId="{DC9B8021-D8A5-43E4-AC56-C6AE77A81C33}" type="pres">
      <dgm:prSet presAssocID="{8AB7F64B-E4EA-46A3-93C5-530B1FAAB3A0}" presName="rootComposite" presStyleCnt="0"/>
      <dgm:spPr/>
    </dgm:pt>
    <dgm:pt modelId="{CC7BE9CC-9E44-4B05-9B0E-850124C3547A}" type="pres">
      <dgm:prSet presAssocID="{8AB7F64B-E4EA-46A3-93C5-530B1FAAB3A0}" presName="rootText" presStyleLbl="node3" presStyleIdx="15" presStyleCnt="29">
        <dgm:presLayoutVars>
          <dgm:chPref val="3"/>
        </dgm:presLayoutVars>
      </dgm:prSet>
      <dgm:spPr/>
    </dgm:pt>
    <dgm:pt modelId="{521FEAC1-E658-4130-BFDF-12AE10471782}" type="pres">
      <dgm:prSet presAssocID="{8AB7F64B-E4EA-46A3-93C5-530B1FAAB3A0}" presName="rootConnector" presStyleLbl="node3" presStyleIdx="15" presStyleCnt="29"/>
      <dgm:spPr/>
    </dgm:pt>
    <dgm:pt modelId="{2E10A84D-28AC-4389-B262-EEC5AC14DF6E}" type="pres">
      <dgm:prSet presAssocID="{8AB7F64B-E4EA-46A3-93C5-530B1FAAB3A0}" presName="hierChild4" presStyleCnt="0"/>
      <dgm:spPr/>
    </dgm:pt>
    <dgm:pt modelId="{96841731-AA54-4777-9CA5-E03DBB960C6B}" type="pres">
      <dgm:prSet presAssocID="{8AB7F64B-E4EA-46A3-93C5-530B1FAAB3A0}" presName="hierChild5" presStyleCnt="0"/>
      <dgm:spPr/>
    </dgm:pt>
    <dgm:pt modelId="{86E8989D-6C94-463D-9588-B288E8BD09F3}" type="pres">
      <dgm:prSet presAssocID="{3C430132-43C1-47EF-A156-1D4161537981}" presName="Name37" presStyleLbl="parChTrans1D3" presStyleIdx="16" presStyleCnt="29"/>
      <dgm:spPr/>
    </dgm:pt>
    <dgm:pt modelId="{897D0B9E-933E-4446-B30B-688525330F47}" type="pres">
      <dgm:prSet presAssocID="{F02C7DD0-38B5-42D3-B052-77C4D943365F}" presName="hierRoot2" presStyleCnt="0">
        <dgm:presLayoutVars>
          <dgm:hierBranch val="init"/>
        </dgm:presLayoutVars>
      </dgm:prSet>
      <dgm:spPr/>
    </dgm:pt>
    <dgm:pt modelId="{70461A7E-F756-462D-8D14-C27FED726120}" type="pres">
      <dgm:prSet presAssocID="{F02C7DD0-38B5-42D3-B052-77C4D943365F}" presName="rootComposite" presStyleCnt="0"/>
      <dgm:spPr/>
    </dgm:pt>
    <dgm:pt modelId="{55EC4157-21BA-4613-8860-42E031585862}" type="pres">
      <dgm:prSet presAssocID="{F02C7DD0-38B5-42D3-B052-77C4D943365F}" presName="rootText" presStyleLbl="node3" presStyleIdx="16" presStyleCnt="29">
        <dgm:presLayoutVars>
          <dgm:chPref val="3"/>
        </dgm:presLayoutVars>
      </dgm:prSet>
      <dgm:spPr/>
    </dgm:pt>
    <dgm:pt modelId="{ABCA2F01-C14C-4548-BBBB-84ED0283C97F}" type="pres">
      <dgm:prSet presAssocID="{F02C7DD0-38B5-42D3-B052-77C4D943365F}" presName="rootConnector" presStyleLbl="node3" presStyleIdx="16" presStyleCnt="29"/>
      <dgm:spPr/>
    </dgm:pt>
    <dgm:pt modelId="{E67A4277-2D09-4FAD-9002-FF01C2B652C7}" type="pres">
      <dgm:prSet presAssocID="{F02C7DD0-38B5-42D3-B052-77C4D943365F}" presName="hierChild4" presStyleCnt="0"/>
      <dgm:spPr/>
    </dgm:pt>
    <dgm:pt modelId="{6BF51E8D-76E3-4BD5-82A3-F693AB920637}" type="pres">
      <dgm:prSet presAssocID="{F02C7DD0-38B5-42D3-B052-77C4D943365F}" presName="hierChild5" presStyleCnt="0"/>
      <dgm:spPr/>
    </dgm:pt>
    <dgm:pt modelId="{77E6A972-0C83-4850-8B51-4CF832FCB47F}" type="pres">
      <dgm:prSet presAssocID="{424E63FB-7A5E-47ED-BA8E-381C8BEA7B4D}" presName="hierChild5" presStyleCnt="0"/>
      <dgm:spPr/>
    </dgm:pt>
    <dgm:pt modelId="{70257897-199B-45F9-8E97-4C591BBE7B3F}" type="pres">
      <dgm:prSet presAssocID="{3AAD358E-6C2A-45F6-8AEA-D2444BC59F19}" presName="Name37" presStyleLbl="parChTrans1D2" presStyleIdx="7" presStyleCnt="11"/>
      <dgm:spPr/>
    </dgm:pt>
    <dgm:pt modelId="{1A481C3A-726B-47D4-9D7B-FCF69649D262}" type="pres">
      <dgm:prSet presAssocID="{5901CCA6-EF9E-4F05-B532-AFA0A830E4D5}" presName="hierRoot2" presStyleCnt="0">
        <dgm:presLayoutVars>
          <dgm:hierBranch val="init"/>
        </dgm:presLayoutVars>
      </dgm:prSet>
      <dgm:spPr/>
    </dgm:pt>
    <dgm:pt modelId="{45347127-FB9E-44B6-B492-91D4020B1E35}" type="pres">
      <dgm:prSet presAssocID="{5901CCA6-EF9E-4F05-B532-AFA0A830E4D5}" presName="rootComposite" presStyleCnt="0"/>
      <dgm:spPr/>
    </dgm:pt>
    <dgm:pt modelId="{36F65EB3-A93B-4BDE-AD59-D991F66D50DB}" type="pres">
      <dgm:prSet presAssocID="{5901CCA6-EF9E-4F05-B532-AFA0A830E4D5}" presName="rootText" presStyleLbl="node2" presStyleIdx="7" presStyleCnt="11" custLinFactNeighborY="-2145">
        <dgm:presLayoutVars>
          <dgm:chPref val="3"/>
        </dgm:presLayoutVars>
      </dgm:prSet>
      <dgm:spPr/>
    </dgm:pt>
    <dgm:pt modelId="{826A7F83-80B8-45B1-B66F-D6D09AC2C066}" type="pres">
      <dgm:prSet presAssocID="{5901CCA6-EF9E-4F05-B532-AFA0A830E4D5}" presName="rootConnector" presStyleLbl="node2" presStyleIdx="7" presStyleCnt="11"/>
      <dgm:spPr/>
    </dgm:pt>
    <dgm:pt modelId="{A3EF5188-FB3C-4934-BB09-246D4D5078CE}" type="pres">
      <dgm:prSet presAssocID="{5901CCA6-EF9E-4F05-B532-AFA0A830E4D5}" presName="hierChild4" presStyleCnt="0"/>
      <dgm:spPr/>
    </dgm:pt>
    <dgm:pt modelId="{3CB9AA48-4DCA-4619-BFC8-64D366B147BD}" type="pres">
      <dgm:prSet presAssocID="{E9B60A7F-1B58-4875-83A0-42F3D1E4F7F2}" presName="Name37" presStyleLbl="parChTrans1D3" presStyleIdx="17" presStyleCnt="29"/>
      <dgm:spPr/>
    </dgm:pt>
    <dgm:pt modelId="{2EDBCA8B-07DE-4449-A088-AACE44912C64}" type="pres">
      <dgm:prSet presAssocID="{23A96D7A-299B-4FA1-93D0-41E5DC2BDB0F}" presName="hierRoot2" presStyleCnt="0">
        <dgm:presLayoutVars>
          <dgm:hierBranch val="init"/>
        </dgm:presLayoutVars>
      </dgm:prSet>
      <dgm:spPr/>
    </dgm:pt>
    <dgm:pt modelId="{958B1EFD-E2EF-4221-AB92-43FC5E2D2409}" type="pres">
      <dgm:prSet presAssocID="{23A96D7A-299B-4FA1-93D0-41E5DC2BDB0F}" presName="rootComposite" presStyleCnt="0"/>
      <dgm:spPr/>
    </dgm:pt>
    <dgm:pt modelId="{26279B3F-32AE-429E-8F6A-E74283514EA0}" type="pres">
      <dgm:prSet presAssocID="{23A96D7A-299B-4FA1-93D0-41E5DC2BDB0F}" presName="rootText" presStyleLbl="node3" presStyleIdx="17" presStyleCnt="29">
        <dgm:presLayoutVars>
          <dgm:chPref val="3"/>
        </dgm:presLayoutVars>
      </dgm:prSet>
      <dgm:spPr/>
    </dgm:pt>
    <dgm:pt modelId="{3E384659-83D8-423C-BB17-F82A4F217F6D}" type="pres">
      <dgm:prSet presAssocID="{23A96D7A-299B-4FA1-93D0-41E5DC2BDB0F}" presName="rootConnector" presStyleLbl="node3" presStyleIdx="17" presStyleCnt="29"/>
      <dgm:spPr/>
    </dgm:pt>
    <dgm:pt modelId="{377B847C-99F1-4BC5-8FFF-7E1F4C0431B2}" type="pres">
      <dgm:prSet presAssocID="{23A96D7A-299B-4FA1-93D0-41E5DC2BDB0F}" presName="hierChild4" presStyleCnt="0"/>
      <dgm:spPr/>
    </dgm:pt>
    <dgm:pt modelId="{B1DB0582-F24F-4CD8-90DF-8BAD77F3785D}" type="pres">
      <dgm:prSet presAssocID="{23A96D7A-299B-4FA1-93D0-41E5DC2BDB0F}" presName="hierChild5" presStyleCnt="0"/>
      <dgm:spPr/>
    </dgm:pt>
    <dgm:pt modelId="{BFBC2126-85D5-4905-9E09-CD7F082453CB}" type="pres">
      <dgm:prSet presAssocID="{E1527C33-CFAA-4D8C-96C4-EE6231657CF0}" presName="Name37" presStyleLbl="parChTrans1D3" presStyleIdx="18" presStyleCnt="29"/>
      <dgm:spPr/>
    </dgm:pt>
    <dgm:pt modelId="{6D1751FF-08CF-4C8A-9130-AB710414D12A}" type="pres">
      <dgm:prSet presAssocID="{EC6FE534-DC93-4BE9-B221-533498D9AED2}" presName="hierRoot2" presStyleCnt="0">
        <dgm:presLayoutVars>
          <dgm:hierBranch val="init"/>
        </dgm:presLayoutVars>
      </dgm:prSet>
      <dgm:spPr/>
    </dgm:pt>
    <dgm:pt modelId="{CC07FEE9-35FB-4014-9CEC-B70F58552A9B}" type="pres">
      <dgm:prSet presAssocID="{EC6FE534-DC93-4BE9-B221-533498D9AED2}" presName="rootComposite" presStyleCnt="0"/>
      <dgm:spPr/>
    </dgm:pt>
    <dgm:pt modelId="{463E7EE2-DBFC-4EC0-BC5D-9271F221CF32}" type="pres">
      <dgm:prSet presAssocID="{EC6FE534-DC93-4BE9-B221-533498D9AED2}" presName="rootText" presStyleLbl="node3" presStyleIdx="18" presStyleCnt="29">
        <dgm:presLayoutVars>
          <dgm:chPref val="3"/>
        </dgm:presLayoutVars>
      </dgm:prSet>
      <dgm:spPr/>
    </dgm:pt>
    <dgm:pt modelId="{F6623B5E-28CD-4799-A9B4-EF636C566661}" type="pres">
      <dgm:prSet presAssocID="{EC6FE534-DC93-4BE9-B221-533498D9AED2}" presName="rootConnector" presStyleLbl="node3" presStyleIdx="18" presStyleCnt="29"/>
      <dgm:spPr/>
    </dgm:pt>
    <dgm:pt modelId="{7A0BD660-4546-460D-9E6B-F3F854B7DC92}" type="pres">
      <dgm:prSet presAssocID="{EC6FE534-DC93-4BE9-B221-533498D9AED2}" presName="hierChild4" presStyleCnt="0"/>
      <dgm:spPr/>
    </dgm:pt>
    <dgm:pt modelId="{59812310-0E22-4722-86D4-BDD21C2AA230}" type="pres">
      <dgm:prSet presAssocID="{EC6FE534-DC93-4BE9-B221-533498D9AED2}" presName="hierChild5" presStyleCnt="0"/>
      <dgm:spPr/>
    </dgm:pt>
    <dgm:pt modelId="{2E30FFB8-D40D-42E9-AC77-18EF4B8DF612}" type="pres">
      <dgm:prSet presAssocID="{902A754E-4E4A-4847-B0A2-573B94308BBA}" presName="Name37" presStyleLbl="parChTrans1D3" presStyleIdx="19" presStyleCnt="29"/>
      <dgm:spPr/>
    </dgm:pt>
    <dgm:pt modelId="{B68FF941-43D8-4872-9387-7FE17CC00603}" type="pres">
      <dgm:prSet presAssocID="{0995A2E3-0901-4DB1-B970-376B2E4006D1}" presName="hierRoot2" presStyleCnt="0">
        <dgm:presLayoutVars>
          <dgm:hierBranch val="init"/>
        </dgm:presLayoutVars>
      </dgm:prSet>
      <dgm:spPr/>
    </dgm:pt>
    <dgm:pt modelId="{11FD2BA7-1C29-4BC1-B624-210B5F266C15}" type="pres">
      <dgm:prSet presAssocID="{0995A2E3-0901-4DB1-B970-376B2E4006D1}" presName="rootComposite" presStyleCnt="0"/>
      <dgm:spPr/>
    </dgm:pt>
    <dgm:pt modelId="{133F1FC1-C5F4-4978-BE80-4F349F36D878}" type="pres">
      <dgm:prSet presAssocID="{0995A2E3-0901-4DB1-B970-376B2E4006D1}" presName="rootText" presStyleLbl="node3" presStyleIdx="19" presStyleCnt="29">
        <dgm:presLayoutVars>
          <dgm:chPref val="3"/>
        </dgm:presLayoutVars>
      </dgm:prSet>
      <dgm:spPr/>
    </dgm:pt>
    <dgm:pt modelId="{5A747205-C3F6-4D4A-B739-6135E3BDFDEF}" type="pres">
      <dgm:prSet presAssocID="{0995A2E3-0901-4DB1-B970-376B2E4006D1}" presName="rootConnector" presStyleLbl="node3" presStyleIdx="19" presStyleCnt="29"/>
      <dgm:spPr/>
    </dgm:pt>
    <dgm:pt modelId="{4688A203-31C8-4F6D-8E07-CBF05F576CB7}" type="pres">
      <dgm:prSet presAssocID="{0995A2E3-0901-4DB1-B970-376B2E4006D1}" presName="hierChild4" presStyleCnt="0"/>
      <dgm:spPr/>
    </dgm:pt>
    <dgm:pt modelId="{013542E4-FA51-4362-BEF1-28DA7C204773}" type="pres">
      <dgm:prSet presAssocID="{0995A2E3-0901-4DB1-B970-376B2E4006D1}" presName="hierChild5" presStyleCnt="0"/>
      <dgm:spPr/>
    </dgm:pt>
    <dgm:pt modelId="{44626B8E-D9CC-4D64-A0A9-A870DD812824}" type="pres">
      <dgm:prSet presAssocID="{5901CCA6-EF9E-4F05-B532-AFA0A830E4D5}" presName="hierChild5" presStyleCnt="0"/>
      <dgm:spPr/>
    </dgm:pt>
    <dgm:pt modelId="{95E2F74E-F847-4663-BDD7-0A5BE67FBABA}" type="pres">
      <dgm:prSet presAssocID="{05FE1BD5-3C3C-4969-A364-2530D63BDBD5}" presName="Name37" presStyleLbl="parChTrans1D2" presStyleIdx="8" presStyleCnt="11"/>
      <dgm:spPr/>
    </dgm:pt>
    <dgm:pt modelId="{58CA9A7A-FBFD-42DB-B4A3-D56704AA6977}" type="pres">
      <dgm:prSet presAssocID="{95040E2D-3B14-4838-BEEC-F567F54E210A}" presName="hierRoot2" presStyleCnt="0">
        <dgm:presLayoutVars>
          <dgm:hierBranch val="init"/>
        </dgm:presLayoutVars>
      </dgm:prSet>
      <dgm:spPr/>
    </dgm:pt>
    <dgm:pt modelId="{039843FC-32B3-4C06-BF76-AD0E8557F518}" type="pres">
      <dgm:prSet presAssocID="{95040E2D-3B14-4838-BEEC-F567F54E210A}" presName="rootComposite" presStyleCnt="0"/>
      <dgm:spPr/>
    </dgm:pt>
    <dgm:pt modelId="{66215115-E87F-416B-87DA-9B997A3EC349}" type="pres">
      <dgm:prSet presAssocID="{95040E2D-3B14-4838-BEEC-F567F54E210A}" presName="rootText" presStyleLbl="node2" presStyleIdx="8" presStyleCnt="11" custLinFactNeighborX="-2822" custLinFactNeighborY="-2145">
        <dgm:presLayoutVars>
          <dgm:chPref val="3"/>
        </dgm:presLayoutVars>
      </dgm:prSet>
      <dgm:spPr/>
    </dgm:pt>
    <dgm:pt modelId="{09DDE27A-7945-43B7-A1B3-41101585F0CD}" type="pres">
      <dgm:prSet presAssocID="{95040E2D-3B14-4838-BEEC-F567F54E210A}" presName="rootConnector" presStyleLbl="node2" presStyleIdx="8" presStyleCnt="11"/>
      <dgm:spPr/>
    </dgm:pt>
    <dgm:pt modelId="{2A9EE20B-950C-4346-8C81-41F64B0AED1C}" type="pres">
      <dgm:prSet presAssocID="{95040E2D-3B14-4838-BEEC-F567F54E210A}" presName="hierChild4" presStyleCnt="0"/>
      <dgm:spPr/>
    </dgm:pt>
    <dgm:pt modelId="{3C4B0898-FEC4-425E-A62E-7F6211895D7C}" type="pres">
      <dgm:prSet presAssocID="{90B63618-9D9F-4204-8A72-1DEDB9B6A698}" presName="Name37" presStyleLbl="parChTrans1D3" presStyleIdx="20" presStyleCnt="29"/>
      <dgm:spPr/>
    </dgm:pt>
    <dgm:pt modelId="{6D8BE0E7-C739-48D4-94CD-B3A729367ADF}" type="pres">
      <dgm:prSet presAssocID="{EEBC546B-B559-4568-BA01-5B4728E41645}" presName="hierRoot2" presStyleCnt="0">
        <dgm:presLayoutVars>
          <dgm:hierBranch val="init"/>
        </dgm:presLayoutVars>
      </dgm:prSet>
      <dgm:spPr/>
    </dgm:pt>
    <dgm:pt modelId="{BF6A829C-3E52-4A79-858E-4B245123D10B}" type="pres">
      <dgm:prSet presAssocID="{EEBC546B-B559-4568-BA01-5B4728E41645}" presName="rootComposite" presStyleCnt="0"/>
      <dgm:spPr/>
    </dgm:pt>
    <dgm:pt modelId="{526919F3-C1E6-4952-AA9E-1BBFD8E73B82}" type="pres">
      <dgm:prSet presAssocID="{EEBC546B-B559-4568-BA01-5B4728E41645}" presName="rootText" presStyleLbl="node3" presStyleIdx="20" presStyleCnt="29">
        <dgm:presLayoutVars>
          <dgm:chPref val="3"/>
        </dgm:presLayoutVars>
      </dgm:prSet>
      <dgm:spPr/>
    </dgm:pt>
    <dgm:pt modelId="{37D81D16-9FA0-4B40-B026-416F10041A47}" type="pres">
      <dgm:prSet presAssocID="{EEBC546B-B559-4568-BA01-5B4728E41645}" presName="rootConnector" presStyleLbl="node3" presStyleIdx="20" presStyleCnt="29"/>
      <dgm:spPr/>
    </dgm:pt>
    <dgm:pt modelId="{E3A87363-8253-4DFD-B5DA-1375CF1BE0E3}" type="pres">
      <dgm:prSet presAssocID="{EEBC546B-B559-4568-BA01-5B4728E41645}" presName="hierChild4" presStyleCnt="0"/>
      <dgm:spPr/>
    </dgm:pt>
    <dgm:pt modelId="{A68BCB51-F41E-4D84-B0EA-CA82DA6E0B69}" type="pres">
      <dgm:prSet presAssocID="{EEBC546B-B559-4568-BA01-5B4728E41645}" presName="hierChild5" presStyleCnt="0"/>
      <dgm:spPr/>
    </dgm:pt>
    <dgm:pt modelId="{0F5DED51-8461-4FB1-B14E-D45B6BB35082}" type="pres">
      <dgm:prSet presAssocID="{0BCFA6B9-4E38-4DF4-9665-C5288F643973}" presName="Name37" presStyleLbl="parChTrans1D3" presStyleIdx="21" presStyleCnt="29"/>
      <dgm:spPr/>
    </dgm:pt>
    <dgm:pt modelId="{555A9E2F-CBF6-45C9-9C64-61FB46C9D944}" type="pres">
      <dgm:prSet presAssocID="{6D7A7801-BB63-47F6-9F80-2013CE3C8DDF}" presName="hierRoot2" presStyleCnt="0">
        <dgm:presLayoutVars>
          <dgm:hierBranch val="init"/>
        </dgm:presLayoutVars>
      </dgm:prSet>
      <dgm:spPr/>
    </dgm:pt>
    <dgm:pt modelId="{AB771391-DF63-4BD7-9D22-9BD806234214}" type="pres">
      <dgm:prSet presAssocID="{6D7A7801-BB63-47F6-9F80-2013CE3C8DDF}" presName="rootComposite" presStyleCnt="0"/>
      <dgm:spPr/>
    </dgm:pt>
    <dgm:pt modelId="{ECADA643-1779-4DA2-8AA6-C1EAF32B0C15}" type="pres">
      <dgm:prSet presAssocID="{6D7A7801-BB63-47F6-9F80-2013CE3C8DDF}" presName="rootText" presStyleLbl="node3" presStyleIdx="21" presStyleCnt="29">
        <dgm:presLayoutVars>
          <dgm:chPref val="3"/>
        </dgm:presLayoutVars>
      </dgm:prSet>
      <dgm:spPr/>
    </dgm:pt>
    <dgm:pt modelId="{F770A9C2-2252-4D51-A331-8617B1485A2E}" type="pres">
      <dgm:prSet presAssocID="{6D7A7801-BB63-47F6-9F80-2013CE3C8DDF}" presName="rootConnector" presStyleLbl="node3" presStyleIdx="21" presStyleCnt="29"/>
      <dgm:spPr/>
    </dgm:pt>
    <dgm:pt modelId="{75D89AAE-808D-4720-9DDC-7EDBA7447EF7}" type="pres">
      <dgm:prSet presAssocID="{6D7A7801-BB63-47F6-9F80-2013CE3C8DDF}" presName="hierChild4" presStyleCnt="0"/>
      <dgm:spPr/>
    </dgm:pt>
    <dgm:pt modelId="{676BBFF2-9E97-4095-9520-F80CAF882694}" type="pres">
      <dgm:prSet presAssocID="{6D7A7801-BB63-47F6-9F80-2013CE3C8DDF}" presName="hierChild5" presStyleCnt="0"/>
      <dgm:spPr/>
    </dgm:pt>
    <dgm:pt modelId="{9B6FEAED-F609-4ABD-9830-664C2D6F7BC4}" type="pres">
      <dgm:prSet presAssocID="{7D1D39C0-3B18-4635-B1B3-C21C05B51E72}" presName="Name37" presStyleLbl="parChTrans1D3" presStyleIdx="22" presStyleCnt="29"/>
      <dgm:spPr/>
    </dgm:pt>
    <dgm:pt modelId="{D8DEFD14-83E4-4BB6-8FE0-D4EA6BAA21BB}" type="pres">
      <dgm:prSet presAssocID="{8C33E48E-334E-4A5A-8828-C0B9BC12F4DA}" presName="hierRoot2" presStyleCnt="0">
        <dgm:presLayoutVars>
          <dgm:hierBranch val="init"/>
        </dgm:presLayoutVars>
      </dgm:prSet>
      <dgm:spPr/>
    </dgm:pt>
    <dgm:pt modelId="{551A77EE-2883-4BF6-8447-54DA232B9A0F}" type="pres">
      <dgm:prSet presAssocID="{8C33E48E-334E-4A5A-8828-C0B9BC12F4DA}" presName="rootComposite" presStyleCnt="0"/>
      <dgm:spPr/>
    </dgm:pt>
    <dgm:pt modelId="{77F7510F-B277-4906-B909-89B1197C6DDE}" type="pres">
      <dgm:prSet presAssocID="{8C33E48E-334E-4A5A-8828-C0B9BC12F4DA}" presName="rootText" presStyleLbl="node3" presStyleIdx="22" presStyleCnt="29">
        <dgm:presLayoutVars>
          <dgm:chPref val="3"/>
        </dgm:presLayoutVars>
      </dgm:prSet>
      <dgm:spPr/>
    </dgm:pt>
    <dgm:pt modelId="{58BCE5B8-AC2E-43FA-B884-A8172ED4A1EB}" type="pres">
      <dgm:prSet presAssocID="{8C33E48E-334E-4A5A-8828-C0B9BC12F4DA}" presName="rootConnector" presStyleLbl="node3" presStyleIdx="22" presStyleCnt="29"/>
      <dgm:spPr/>
    </dgm:pt>
    <dgm:pt modelId="{372C23E0-3C22-4331-A3CB-CA9B4A603276}" type="pres">
      <dgm:prSet presAssocID="{8C33E48E-334E-4A5A-8828-C0B9BC12F4DA}" presName="hierChild4" presStyleCnt="0"/>
      <dgm:spPr/>
    </dgm:pt>
    <dgm:pt modelId="{A9F5020C-DCC7-4A5D-A3FC-09601CD9B78A}" type="pres">
      <dgm:prSet presAssocID="{8C33E48E-334E-4A5A-8828-C0B9BC12F4DA}" presName="hierChild5" presStyleCnt="0"/>
      <dgm:spPr/>
    </dgm:pt>
    <dgm:pt modelId="{3833F1C6-A6B1-46E6-8A15-F930B1F8D329}" type="pres">
      <dgm:prSet presAssocID="{95040E2D-3B14-4838-BEEC-F567F54E210A}" presName="hierChild5" presStyleCnt="0"/>
      <dgm:spPr/>
    </dgm:pt>
    <dgm:pt modelId="{6859BE2E-B830-41FF-B86E-79A6F3BD7732}" type="pres">
      <dgm:prSet presAssocID="{C0EE7375-36E6-4281-9237-5F5EEB6505C0}" presName="Name37" presStyleLbl="parChTrans1D2" presStyleIdx="9" presStyleCnt="11"/>
      <dgm:spPr/>
    </dgm:pt>
    <dgm:pt modelId="{8D866DCF-59CC-4DD5-B28E-62F3EE38D392}" type="pres">
      <dgm:prSet presAssocID="{905ED552-0ABB-46DE-A60F-9DB1B7EBD348}" presName="hierRoot2" presStyleCnt="0">
        <dgm:presLayoutVars>
          <dgm:hierBranch val="init"/>
        </dgm:presLayoutVars>
      </dgm:prSet>
      <dgm:spPr/>
    </dgm:pt>
    <dgm:pt modelId="{8AA59441-871E-4CB9-974F-BBB2590582D3}" type="pres">
      <dgm:prSet presAssocID="{905ED552-0ABB-46DE-A60F-9DB1B7EBD348}" presName="rootComposite" presStyleCnt="0"/>
      <dgm:spPr/>
    </dgm:pt>
    <dgm:pt modelId="{9A7C5AEB-3E05-469A-95FE-22BE39540AE1}" type="pres">
      <dgm:prSet presAssocID="{905ED552-0ABB-46DE-A60F-9DB1B7EBD348}" presName="rootText" presStyleLbl="node2" presStyleIdx="9" presStyleCnt="11" custScaleX="117525" custLinFactNeighborX="-2822" custLinFactNeighborY="-2145">
        <dgm:presLayoutVars>
          <dgm:chPref val="3"/>
        </dgm:presLayoutVars>
      </dgm:prSet>
      <dgm:spPr/>
    </dgm:pt>
    <dgm:pt modelId="{43608A5B-3808-436B-B5E2-C7A7C19E947A}" type="pres">
      <dgm:prSet presAssocID="{905ED552-0ABB-46DE-A60F-9DB1B7EBD348}" presName="rootConnector" presStyleLbl="node2" presStyleIdx="9" presStyleCnt="11"/>
      <dgm:spPr/>
    </dgm:pt>
    <dgm:pt modelId="{07619283-906A-4B7F-A688-B948772364C0}" type="pres">
      <dgm:prSet presAssocID="{905ED552-0ABB-46DE-A60F-9DB1B7EBD348}" presName="hierChild4" presStyleCnt="0"/>
      <dgm:spPr/>
    </dgm:pt>
    <dgm:pt modelId="{6B9387C3-2537-4FE2-8085-C859547936ED}" type="pres">
      <dgm:prSet presAssocID="{164BE56B-4369-439C-BDA1-AC866650347E}" presName="Name37" presStyleLbl="parChTrans1D3" presStyleIdx="23" presStyleCnt="29"/>
      <dgm:spPr/>
    </dgm:pt>
    <dgm:pt modelId="{19521A41-1468-43CA-8648-B0DAEE5747D7}" type="pres">
      <dgm:prSet presAssocID="{FA075ABC-5CA4-4216-8E88-E8C82245409F}" presName="hierRoot2" presStyleCnt="0">
        <dgm:presLayoutVars>
          <dgm:hierBranch val="init"/>
        </dgm:presLayoutVars>
      </dgm:prSet>
      <dgm:spPr/>
    </dgm:pt>
    <dgm:pt modelId="{AC83BF55-15E5-4CA9-8603-040C1C724931}" type="pres">
      <dgm:prSet presAssocID="{FA075ABC-5CA4-4216-8E88-E8C82245409F}" presName="rootComposite" presStyleCnt="0"/>
      <dgm:spPr/>
    </dgm:pt>
    <dgm:pt modelId="{250F3822-B3AA-4407-90AE-B2B8D5EF00A9}" type="pres">
      <dgm:prSet presAssocID="{FA075ABC-5CA4-4216-8E88-E8C82245409F}" presName="rootText" presStyleLbl="node3" presStyleIdx="23" presStyleCnt="29">
        <dgm:presLayoutVars>
          <dgm:chPref val="3"/>
        </dgm:presLayoutVars>
      </dgm:prSet>
      <dgm:spPr/>
    </dgm:pt>
    <dgm:pt modelId="{3D5DCA66-EC03-4D13-94BA-59130EF8F053}" type="pres">
      <dgm:prSet presAssocID="{FA075ABC-5CA4-4216-8E88-E8C82245409F}" presName="rootConnector" presStyleLbl="node3" presStyleIdx="23" presStyleCnt="29"/>
      <dgm:spPr/>
    </dgm:pt>
    <dgm:pt modelId="{DC06BBD4-9CFE-43AB-B5BD-BC44CD6E3076}" type="pres">
      <dgm:prSet presAssocID="{FA075ABC-5CA4-4216-8E88-E8C82245409F}" presName="hierChild4" presStyleCnt="0"/>
      <dgm:spPr/>
    </dgm:pt>
    <dgm:pt modelId="{4976DE3A-1E73-4C99-A568-953ACA700A8A}" type="pres">
      <dgm:prSet presAssocID="{FA075ABC-5CA4-4216-8E88-E8C82245409F}" presName="hierChild5" presStyleCnt="0"/>
      <dgm:spPr/>
    </dgm:pt>
    <dgm:pt modelId="{89695C53-1190-42FF-86CC-6209DC216241}" type="pres">
      <dgm:prSet presAssocID="{3BEC5FAA-E4C7-4310-8BF8-FD6D6CD14D5D}" presName="Name37" presStyleLbl="parChTrans1D3" presStyleIdx="24" presStyleCnt="29"/>
      <dgm:spPr/>
    </dgm:pt>
    <dgm:pt modelId="{2091A16D-1C0D-4F82-A103-83C5761C684D}" type="pres">
      <dgm:prSet presAssocID="{52322AC1-C0CA-41C2-AF77-D47B568609DC}" presName="hierRoot2" presStyleCnt="0">
        <dgm:presLayoutVars>
          <dgm:hierBranch val="init"/>
        </dgm:presLayoutVars>
      </dgm:prSet>
      <dgm:spPr/>
    </dgm:pt>
    <dgm:pt modelId="{EED680E5-5D13-4D31-96F1-F5C06ADCAF46}" type="pres">
      <dgm:prSet presAssocID="{52322AC1-C0CA-41C2-AF77-D47B568609DC}" presName="rootComposite" presStyleCnt="0"/>
      <dgm:spPr/>
    </dgm:pt>
    <dgm:pt modelId="{9BEC86F9-D6A7-4983-86A8-08577B7FE900}" type="pres">
      <dgm:prSet presAssocID="{52322AC1-C0CA-41C2-AF77-D47B568609DC}" presName="rootText" presStyleLbl="node3" presStyleIdx="24" presStyleCnt="29">
        <dgm:presLayoutVars>
          <dgm:chPref val="3"/>
        </dgm:presLayoutVars>
      </dgm:prSet>
      <dgm:spPr/>
    </dgm:pt>
    <dgm:pt modelId="{BAE3A63D-44E0-41CC-9D09-F10B1732475A}" type="pres">
      <dgm:prSet presAssocID="{52322AC1-C0CA-41C2-AF77-D47B568609DC}" presName="rootConnector" presStyleLbl="node3" presStyleIdx="24" presStyleCnt="29"/>
      <dgm:spPr/>
    </dgm:pt>
    <dgm:pt modelId="{E48E0602-2F06-48C0-8919-CE0533050729}" type="pres">
      <dgm:prSet presAssocID="{52322AC1-C0CA-41C2-AF77-D47B568609DC}" presName="hierChild4" presStyleCnt="0"/>
      <dgm:spPr/>
    </dgm:pt>
    <dgm:pt modelId="{EB7A1FFC-E249-429A-A32C-B391C7308432}" type="pres">
      <dgm:prSet presAssocID="{52322AC1-C0CA-41C2-AF77-D47B568609DC}" presName="hierChild5" presStyleCnt="0"/>
      <dgm:spPr/>
    </dgm:pt>
    <dgm:pt modelId="{F7AFC83A-F643-4B31-A648-492A9D843CA2}" type="pres">
      <dgm:prSet presAssocID="{D010ED04-6422-41B1-9B13-F8A5DEAE4019}" presName="Name37" presStyleLbl="parChTrans1D3" presStyleIdx="25" presStyleCnt="29"/>
      <dgm:spPr/>
    </dgm:pt>
    <dgm:pt modelId="{835ADFDF-C842-46B1-B54A-B1FA59F9D79F}" type="pres">
      <dgm:prSet presAssocID="{B0D67059-EF7D-43CE-8506-8E9B5868DB0C}" presName="hierRoot2" presStyleCnt="0">
        <dgm:presLayoutVars>
          <dgm:hierBranch val="init"/>
        </dgm:presLayoutVars>
      </dgm:prSet>
      <dgm:spPr/>
    </dgm:pt>
    <dgm:pt modelId="{5BAB1841-5EAE-4680-B0F4-7AF885288287}" type="pres">
      <dgm:prSet presAssocID="{B0D67059-EF7D-43CE-8506-8E9B5868DB0C}" presName="rootComposite" presStyleCnt="0"/>
      <dgm:spPr/>
    </dgm:pt>
    <dgm:pt modelId="{68D73AD6-74BD-4C2E-A75E-08E466B13B32}" type="pres">
      <dgm:prSet presAssocID="{B0D67059-EF7D-43CE-8506-8E9B5868DB0C}" presName="rootText" presStyleLbl="node3" presStyleIdx="25" presStyleCnt="29">
        <dgm:presLayoutVars>
          <dgm:chPref val="3"/>
        </dgm:presLayoutVars>
      </dgm:prSet>
      <dgm:spPr/>
    </dgm:pt>
    <dgm:pt modelId="{4DEEC77A-A0DC-4AFB-B445-C99CA3365BBD}" type="pres">
      <dgm:prSet presAssocID="{B0D67059-EF7D-43CE-8506-8E9B5868DB0C}" presName="rootConnector" presStyleLbl="node3" presStyleIdx="25" presStyleCnt="29"/>
      <dgm:spPr/>
    </dgm:pt>
    <dgm:pt modelId="{B4291639-8210-4D83-99F7-E61BAB130FDE}" type="pres">
      <dgm:prSet presAssocID="{B0D67059-EF7D-43CE-8506-8E9B5868DB0C}" presName="hierChild4" presStyleCnt="0"/>
      <dgm:spPr/>
    </dgm:pt>
    <dgm:pt modelId="{84752CA9-C509-44F7-AB05-F333616F1CFD}" type="pres">
      <dgm:prSet presAssocID="{B0D67059-EF7D-43CE-8506-8E9B5868DB0C}" presName="hierChild5" presStyleCnt="0"/>
      <dgm:spPr/>
    </dgm:pt>
    <dgm:pt modelId="{836B10AC-82D9-4DB4-A773-693582BDB9D0}" type="pres">
      <dgm:prSet presAssocID="{905ED552-0ABB-46DE-A60F-9DB1B7EBD348}" presName="hierChild5" presStyleCnt="0"/>
      <dgm:spPr/>
    </dgm:pt>
    <dgm:pt modelId="{7009101D-659E-4AC4-B6A0-8312127BD0D5}" type="pres">
      <dgm:prSet presAssocID="{EC92CB9E-5DFE-4287-A9E0-4954C06F656B}" presName="Name37" presStyleLbl="parChTrans1D2" presStyleIdx="10" presStyleCnt="11"/>
      <dgm:spPr/>
    </dgm:pt>
    <dgm:pt modelId="{5AD6FC9D-6064-445F-8A06-CCA400DB3B08}" type="pres">
      <dgm:prSet presAssocID="{14FC8420-D447-4CEA-A3B7-61E9B3749D8E}" presName="hierRoot2" presStyleCnt="0">
        <dgm:presLayoutVars>
          <dgm:hierBranch val="init"/>
        </dgm:presLayoutVars>
      </dgm:prSet>
      <dgm:spPr/>
    </dgm:pt>
    <dgm:pt modelId="{15F16340-459A-4A27-A204-D236E8C20740}" type="pres">
      <dgm:prSet presAssocID="{14FC8420-D447-4CEA-A3B7-61E9B3749D8E}" presName="rootComposite" presStyleCnt="0"/>
      <dgm:spPr/>
    </dgm:pt>
    <dgm:pt modelId="{F5C5F184-CBCA-49BB-BB7E-3A0146C211EB}" type="pres">
      <dgm:prSet presAssocID="{14FC8420-D447-4CEA-A3B7-61E9B3749D8E}" presName="rootText" presStyleLbl="node2" presStyleIdx="10" presStyleCnt="11" custScaleX="73898" custLinFactNeighborX="-2822">
        <dgm:presLayoutVars>
          <dgm:chPref val="3"/>
        </dgm:presLayoutVars>
      </dgm:prSet>
      <dgm:spPr/>
    </dgm:pt>
    <dgm:pt modelId="{7E0A6FE1-6E00-44A1-81D8-0EA2A6CD2AF3}" type="pres">
      <dgm:prSet presAssocID="{14FC8420-D447-4CEA-A3B7-61E9B3749D8E}" presName="rootConnector" presStyleLbl="node2" presStyleIdx="10" presStyleCnt="11"/>
      <dgm:spPr/>
    </dgm:pt>
    <dgm:pt modelId="{5ACBC9EB-3255-4183-99C6-36BFA4DB898A}" type="pres">
      <dgm:prSet presAssocID="{14FC8420-D447-4CEA-A3B7-61E9B3749D8E}" presName="hierChild4" presStyleCnt="0"/>
      <dgm:spPr/>
    </dgm:pt>
    <dgm:pt modelId="{D6F69DBC-B0FC-4A08-AC6B-4A6F9030A7BD}" type="pres">
      <dgm:prSet presAssocID="{D1202378-9FC3-4AC3-BEDF-808E27AD479B}" presName="Name37" presStyleLbl="parChTrans1D3" presStyleIdx="26" presStyleCnt="29"/>
      <dgm:spPr/>
    </dgm:pt>
    <dgm:pt modelId="{F66A1E48-16A7-4FB5-8156-CD2E1045FFBE}" type="pres">
      <dgm:prSet presAssocID="{BA15DC88-B838-4D5F-9BAB-AEC02AE52521}" presName="hierRoot2" presStyleCnt="0">
        <dgm:presLayoutVars>
          <dgm:hierBranch val="init"/>
        </dgm:presLayoutVars>
      </dgm:prSet>
      <dgm:spPr/>
    </dgm:pt>
    <dgm:pt modelId="{3F7CDCDE-6C8D-4873-91F7-40BD160249CE}" type="pres">
      <dgm:prSet presAssocID="{BA15DC88-B838-4D5F-9BAB-AEC02AE52521}" presName="rootComposite" presStyleCnt="0"/>
      <dgm:spPr/>
    </dgm:pt>
    <dgm:pt modelId="{3E37B074-43F2-410D-A821-9E917734EEF5}" type="pres">
      <dgm:prSet presAssocID="{BA15DC88-B838-4D5F-9BAB-AEC02AE52521}" presName="rootText" presStyleLbl="node3" presStyleIdx="26" presStyleCnt="29">
        <dgm:presLayoutVars>
          <dgm:chPref val="3"/>
        </dgm:presLayoutVars>
      </dgm:prSet>
      <dgm:spPr/>
    </dgm:pt>
    <dgm:pt modelId="{18956CBC-7222-4318-87FC-278CA4BA3768}" type="pres">
      <dgm:prSet presAssocID="{BA15DC88-B838-4D5F-9BAB-AEC02AE52521}" presName="rootConnector" presStyleLbl="node3" presStyleIdx="26" presStyleCnt="29"/>
      <dgm:spPr/>
    </dgm:pt>
    <dgm:pt modelId="{D1A1BB6E-75BB-4B08-90C4-382CBCE3ACAC}" type="pres">
      <dgm:prSet presAssocID="{BA15DC88-B838-4D5F-9BAB-AEC02AE52521}" presName="hierChild4" presStyleCnt="0"/>
      <dgm:spPr/>
    </dgm:pt>
    <dgm:pt modelId="{8D5B18A0-80A4-4C22-87BC-EEB3E6785EB2}" type="pres">
      <dgm:prSet presAssocID="{BA15DC88-B838-4D5F-9BAB-AEC02AE52521}" presName="hierChild5" presStyleCnt="0"/>
      <dgm:spPr/>
    </dgm:pt>
    <dgm:pt modelId="{1F22369C-0260-40DE-A3B5-80071F47CFCB}" type="pres">
      <dgm:prSet presAssocID="{900F9B5B-B201-41E8-9F84-B4A949821D1D}" presName="Name37" presStyleLbl="parChTrans1D3" presStyleIdx="27" presStyleCnt="29"/>
      <dgm:spPr/>
    </dgm:pt>
    <dgm:pt modelId="{751DE3A9-98AD-4BB8-9614-99AE6394060E}" type="pres">
      <dgm:prSet presAssocID="{85451313-C917-4F47-86D0-45E28E549CBF}" presName="hierRoot2" presStyleCnt="0">
        <dgm:presLayoutVars>
          <dgm:hierBranch val="init"/>
        </dgm:presLayoutVars>
      </dgm:prSet>
      <dgm:spPr/>
    </dgm:pt>
    <dgm:pt modelId="{C7124B80-AFC6-4098-8F7C-B68AC9998F53}" type="pres">
      <dgm:prSet presAssocID="{85451313-C917-4F47-86D0-45E28E549CBF}" presName="rootComposite" presStyleCnt="0"/>
      <dgm:spPr/>
    </dgm:pt>
    <dgm:pt modelId="{E1649481-31C2-4E1C-A6F3-BCDF01D59BD2}" type="pres">
      <dgm:prSet presAssocID="{85451313-C917-4F47-86D0-45E28E549CBF}" presName="rootText" presStyleLbl="node3" presStyleIdx="27" presStyleCnt="29">
        <dgm:presLayoutVars>
          <dgm:chPref val="3"/>
        </dgm:presLayoutVars>
      </dgm:prSet>
      <dgm:spPr/>
    </dgm:pt>
    <dgm:pt modelId="{F7BA7A01-E042-4673-AEEA-303514636AFE}" type="pres">
      <dgm:prSet presAssocID="{85451313-C917-4F47-86D0-45E28E549CBF}" presName="rootConnector" presStyleLbl="node3" presStyleIdx="27" presStyleCnt="29"/>
      <dgm:spPr/>
    </dgm:pt>
    <dgm:pt modelId="{B9732F4F-BE78-4B49-9091-821A719A5806}" type="pres">
      <dgm:prSet presAssocID="{85451313-C917-4F47-86D0-45E28E549CBF}" presName="hierChild4" presStyleCnt="0"/>
      <dgm:spPr/>
    </dgm:pt>
    <dgm:pt modelId="{02D762C6-91EC-4FE8-8DD5-7C4C3BF95BC3}" type="pres">
      <dgm:prSet presAssocID="{85451313-C917-4F47-86D0-45E28E549CBF}" presName="hierChild5" presStyleCnt="0"/>
      <dgm:spPr/>
    </dgm:pt>
    <dgm:pt modelId="{9A5CF57C-EB3E-499E-8222-998FF1F3959E}" type="pres">
      <dgm:prSet presAssocID="{23233B68-EF36-4A02-9B22-884F03B3E17D}" presName="Name37" presStyleLbl="parChTrans1D3" presStyleIdx="28" presStyleCnt="29"/>
      <dgm:spPr/>
    </dgm:pt>
    <dgm:pt modelId="{5704E418-CC6E-4FAE-B4C3-1F565F11B0A5}" type="pres">
      <dgm:prSet presAssocID="{F9F2A175-3F9B-492A-AD89-F9ADF1AA7A09}" presName="hierRoot2" presStyleCnt="0">
        <dgm:presLayoutVars>
          <dgm:hierBranch val="init"/>
        </dgm:presLayoutVars>
      </dgm:prSet>
      <dgm:spPr/>
    </dgm:pt>
    <dgm:pt modelId="{6457224C-B2A9-4E68-93C7-6A30D187AD21}" type="pres">
      <dgm:prSet presAssocID="{F9F2A175-3F9B-492A-AD89-F9ADF1AA7A09}" presName="rootComposite" presStyleCnt="0"/>
      <dgm:spPr/>
    </dgm:pt>
    <dgm:pt modelId="{5D899EB1-B601-4B33-9059-E0DEFEEE5318}" type="pres">
      <dgm:prSet presAssocID="{F9F2A175-3F9B-492A-AD89-F9ADF1AA7A09}" presName="rootText" presStyleLbl="node3" presStyleIdx="28" presStyleCnt="29">
        <dgm:presLayoutVars>
          <dgm:chPref val="3"/>
        </dgm:presLayoutVars>
      </dgm:prSet>
      <dgm:spPr/>
    </dgm:pt>
    <dgm:pt modelId="{8BDE05C9-053F-4C88-B814-2D8F4E34080D}" type="pres">
      <dgm:prSet presAssocID="{F9F2A175-3F9B-492A-AD89-F9ADF1AA7A09}" presName="rootConnector" presStyleLbl="node3" presStyleIdx="28" presStyleCnt="29"/>
      <dgm:spPr/>
    </dgm:pt>
    <dgm:pt modelId="{EBBFD4E0-68FF-4B5E-9CC1-134C676AC247}" type="pres">
      <dgm:prSet presAssocID="{F9F2A175-3F9B-492A-AD89-F9ADF1AA7A09}" presName="hierChild4" presStyleCnt="0"/>
      <dgm:spPr/>
    </dgm:pt>
    <dgm:pt modelId="{1511A876-7870-4D0C-96F8-5E48CF5B2D4C}" type="pres">
      <dgm:prSet presAssocID="{F9F2A175-3F9B-492A-AD89-F9ADF1AA7A09}" presName="hierChild5" presStyleCnt="0"/>
      <dgm:spPr/>
    </dgm:pt>
    <dgm:pt modelId="{75BBA576-24A0-4355-8678-C16C1DF84B6E}" type="pres">
      <dgm:prSet presAssocID="{14FC8420-D447-4CEA-A3B7-61E9B3749D8E}" presName="hierChild5" presStyleCnt="0"/>
      <dgm:spPr/>
    </dgm:pt>
    <dgm:pt modelId="{3B9D5E95-1320-46BA-A01E-BC0D01F0FFE2}" type="pres">
      <dgm:prSet presAssocID="{0102E4FE-20A8-44CB-9044-37DB2019EEF7}" presName="hierChild3" presStyleCnt="0"/>
      <dgm:spPr/>
    </dgm:pt>
  </dgm:ptLst>
  <dgm:cxnLst>
    <dgm:cxn modelId="{67BB3300-C2FA-459C-B575-8F0C2C761D2B}" type="presOf" srcId="{EC92CB9E-5DFE-4287-A9E0-4954C06F656B}" destId="{7009101D-659E-4AC4-B6A0-8312127BD0D5}" srcOrd="0" destOrd="0" presId="urn:microsoft.com/office/officeart/2005/8/layout/orgChart1"/>
    <dgm:cxn modelId="{E55DB602-DC2A-4A90-AEBC-D3FA9C19E981}" srcId="{0102E4FE-20A8-44CB-9044-37DB2019EEF7}" destId="{5901CCA6-EF9E-4F05-B532-AFA0A830E4D5}" srcOrd="7" destOrd="0" parTransId="{3AAD358E-6C2A-45F6-8AEA-D2444BC59F19}" sibTransId="{DA81767C-EE83-44C2-9E22-3E8E99D8403B}"/>
    <dgm:cxn modelId="{C6C9EF02-DF56-4946-A6A9-7C42874135E2}" type="presOf" srcId="{902A754E-4E4A-4847-B0A2-573B94308BBA}" destId="{2E30FFB8-D40D-42E9-AC77-18EF4B8DF612}" srcOrd="0" destOrd="0" presId="urn:microsoft.com/office/officeart/2005/8/layout/orgChart1"/>
    <dgm:cxn modelId="{53B63F03-0985-48A4-80C2-706BB670BA50}" type="presOf" srcId="{97F38E1B-8B0A-4C1C-BB0E-8DC2824BBDEE}" destId="{8D28DA9C-651E-493C-AEB4-8DE7C4670A76}" srcOrd="0" destOrd="0" presId="urn:microsoft.com/office/officeart/2005/8/layout/orgChart1"/>
    <dgm:cxn modelId="{A4EF8B03-7981-42B5-9814-55B7955BF762}" type="presOf" srcId="{6D7A7801-BB63-47F6-9F80-2013CE3C8DDF}" destId="{ECADA643-1779-4DA2-8AA6-C1EAF32B0C15}" srcOrd="0" destOrd="0" presId="urn:microsoft.com/office/officeart/2005/8/layout/orgChart1"/>
    <dgm:cxn modelId="{258BD403-F044-4087-92A7-7D87F527D8AD}" type="presOf" srcId="{5901CCA6-EF9E-4F05-B532-AFA0A830E4D5}" destId="{36F65EB3-A93B-4BDE-AD59-D991F66D50DB}" srcOrd="0" destOrd="0" presId="urn:microsoft.com/office/officeart/2005/8/layout/orgChart1"/>
    <dgm:cxn modelId="{57C60E04-9D08-40AA-871F-0F233A96B5CF}" type="presOf" srcId="{52322AC1-C0CA-41C2-AF77-D47B568609DC}" destId="{BAE3A63D-44E0-41CC-9D09-F10B1732475A}" srcOrd="1" destOrd="0" presId="urn:microsoft.com/office/officeart/2005/8/layout/orgChart1"/>
    <dgm:cxn modelId="{A5330B05-7EC3-45E4-97C4-56A82E6A9D47}" type="presOf" srcId="{6D7A7801-BB63-47F6-9F80-2013CE3C8DDF}" destId="{F770A9C2-2252-4D51-A331-8617B1485A2E}" srcOrd="1" destOrd="0" presId="urn:microsoft.com/office/officeart/2005/8/layout/orgChart1"/>
    <dgm:cxn modelId="{90B2A606-603C-48C0-90B2-E882CC121CF4}" type="presOf" srcId="{9AC19E5E-60C4-4CCF-A20E-E4814BC2FE9B}" destId="{8214640F-5D66-49B2-997F-5F320E255B10}" srcOrd="0" destOrd="0" presId="urn:microsoft.com/office/officeart/2005/8/layout/orgChart1"/>
    <dgm:cxn modelId="{F28D2A09-27DD-4A0C-BC01-7D87ED14C5EF}" srcId="{809B22AA-EB2B-4C4F-82C3-E979FD4CF357}" destId="{97F38E1B-8B0A-4C1C-BB0E-8DC2824BBDEE}" srcOrd="0" destOrd="0" parTransId="{9792CF75-292C-4BCA-A2CF-C2FA68F001BD}" sibTransId="{2D6198F2-32BE-47EB-A094-B34B1ED30EA3}"/>
    <dgm:cxn modelId="{EE0F630A-CDD2-46E7-9BE9-EFADA195906C}" type="presOf" srcId="{8D244D8F-C792-40BC-A511-7DE39E45E194}" destId="{4C9AEEA8-806B-4221-A8CF-497F84C39D63}" srcOrd="0" destOrd="0" presId="urn:microsoft.com/office/officeart/2005/8/layout/orgChart1"/>
    <dgm:cxn modelId="{84D1810A-10ED-4FC4-BC59-65178ADF26FD}" type="presOf" srcId="{50F4CB47-0DB9-4B1E-9C75-49682DAC2BF7}" destId="{78FA309A-083A-4C64-9477-7A3C69B2784C}" srcOrd="0" destOrd="0" presId="urn:microsoft.com/office/officeart/2005/8/layout/orgChart1"/>
    <dgm:cxn modelId="{9EB1AC0A-6E95-4C0F-A5CC-95B8F5B430E1}" type="presOf" srcId="{95040E2D-3B14-4838-BEEC-F567F54E210A}" destId="{66215115-E87F-416B-87DA-9B997A3EC349}" srcOrd="0" destOrd="0" presId="urn:microsoft.com/office/officeart/2005/8/layout/orgChart1"/>
    <dgm:cxn modelId="{4037E30B-0A1B-49BA-A9AD-10794462B0D1}" type="presOf" srcId="{809B22AA-EB2B-4C4F-82C3-E979FD4CF357}" destId="{18E317F2-7CF2-4DFD-9CA0-4A1E8C4ACD68}" srcOrd="1" destOrd="0" presId="urn:microsoft.com/office/officeart/2005/8/layout/orgChart1"/>
    <dgm:cxn modelId="{52D5160C-EC02-47A7-A355-92F9A8F9822C}" type="presOf" srcId="{C2EFE54E-DDBB-4937-AAAF-B8E47F74D697}" destId="{3EDBFA9C-F817-479F-9192-D74217624230}" srcOrd="1" destOrd="0" presId="urn:microsoft.com/office/officeart/2005/8/layout/orgChart1"/>
    <dgm:cxn modelId="{19621F0C-F61A-4B9A-B233-8971CD21224D}" type="presOf" srcId="{5901CCA6-EF9E-4F05-B532-AFA0A830E4D5}" destId="{826A7F83-80B8-45B1-B66F-D6D09AC2C066}" srcOrd="1" destOrd="0" presId="urn:microsoft.com/office/officeart/2005/8/layout/orgChart1"/>
    <dgm:cxn modelId="{F7AAB10C-8CE7-44F7-B3FA-36F5A75E2381}" type="presOf" srcId="{B3501234-EF80-4869-A279-C89BC86861D2}" destId="{551EDF52-9700-4415-9C5E-2D5BBD97710A}" srcOrd="0" destOrd="0" presId="urn:microsoft.com/office/officeart/2005/8/layout/orgChart1"/>
    <dgm:cxn modelId="{B6E8350D-073B-4398-AB39-54D9747CCAF2}" srcId="{905ED552-0ABB-46DE-A60F-9DB1B7EBD348}" destId="{B0D67059-EF7D-43CE-8506-8E9B5868DB0C}" srcOrd="2" destOrd="0" parTransId="{D010ED04-6422-41B1-9B13-F8A5DEAE4019}" sibTransId="{EA6F9236-2F0E-4B77-84C3-BC211A6AAA2F}"/>
    <dgm:cxn modelId="{35D49F0D-8247-48D4-BFCC-E8F9E668BBF5}" type="presOf" srcId="{EBA54DFC-7FC3-4D85-9BDE-4CD347E65E6C}" destId="{82E60BB5-7FD2-4219-AE7C-29971BDCB4BB}" srcOrd="0" destOrd="0" presId="urn:microsoft.com/office/officeart/2005/8/layout/orgChart1"/>
    <dgm:cxn modelId="{9AC3CF0D-7979-411D-8A88-89E40EEDCDFF}" type="presOf" srcId="{E5DFCF2D-8524-4D8E-AB8B-E3229044C96F}" destId="{C53932D4-51E7-41F5-AE16-C6CBB114DFEA}" srcOrd="0" destOrd="0" presId="urn:microsoft.com/office/officeart/2005/8/layout/orgChart1"/>
    <dgm:cxn modelId="{D67ABC0E-CCA2-4667-8E15-19D1BAB23443}" type="presOf" srcId="{0AE7F9E1-765F-489C-8C16-C7BC49A797D9}" destId="{A2F7DB0A-CD49-4EDD-B25D-FF7E00E87D85}" srcOrd="1" destOrd="0" presId="urn:microsoft.com/office/officeart/2005/8/layout/orgChart1"/>
    <dgm:cxn modelId="{8185EA0F-F5C7-4FC7-802F-245595F8971B}" type="presOf" srcId="{B6389D6D-8AE5-4B3C-9BF6-CF7D2B974EDD}" destId="{45896F72-DCDE-404C-8364-99656B71FFED}" srcOrd="1" destOrd="0" presId="urn:microsoft.com/office/officeart/2005/8/layout/orgChart1"/>
    <dgm:cxn modelId="{27C00910-C226-4303-8866-345AE734DB89}" srcId="{0102E4FE-20A8-44CB-9044-37DB2019EEF7}" destId="{4D29C077-1695-455C-9DAA-E15887E6F57B}" srcOrd="2" destOrd="0" parTransId="{DE3A69AF-6A99-44DF-9639-EBEE5AEFB1D1}" sibTransId="{E6AEEF36-DE94-4725-A972-AA3652B3FD65}"/>
    <dgm:cxn modelId="{D8CE0311-810E-4B18-B001-18D52486399A}" type="presOf" srcId="{0102E4FE-20A8-44CB-9044-37DB2019EEF7}" destId="{9E54A725-AB28-4B64-8844-9F2951F2F7A0}" srcOrd="1" destOrd="0" presId="urn:microsoft.com/office/officeart/2005/8/layout/orgChart1"/>
    <dgm:cxn modelId="{77D66912-441F-40FD-A160-B28ACE4255EA}" type="presOf" srcId="{DBA8929B-46BA-404E-A3FA-7CF913B88C72}" destId="{47D7B08E-C006-4337-AFA5-B2B6AB5330E7}" srcOrd="0" destOrd="0" presId="urn:microsoft.com/office/officeart/2005/8/layout/orgChart1"/>
    <dgm:cxn modelId="{B5820215-1567-4A5F-A859-132FF7BA307C}" type="presOf" srcId="{939AE253-A7E2-4EBA-B997-5913C2301F5A}" destId="{CF1CE0D6-2000-45B7-B412-882350AF6F25}" srcOrd="0" destOrd="0" presId="urn:microsoft.com/office/officeart/2005/8/layout/orgChart1"/>
    <dgm:cxn modelId="{F9C41C16-8CB2-44A9-B477-C6A114FFF48D}" type="presOf" srcId="{F02C7DD0-38B5-42D3-B052-77C4D943365F}" destId="{ABCA2F01-C14C-4548-BBBB-84ED0283C97F}" srcOrd="1" destOrd="0" presId="urn:microsoft.com/office/officeart/2005/8/layout/orgChart1"/>
    <dgm:cxn modelId="{BB39EB16-3298-47B4-8048-98E6FF5FF77A}" type="presOf" srcId="{C550F39E-3BA4-4EAC-9784-E4F9E4C6F36F}" destId="{C3FAA0F3-7CCC-449C-A82C-F68F70EE100B}" srcOrd="0" destOrd="0" presId="urn:microsoft.com/office/officeart/2005/8/layout/orgChart1"/>
    <dgm:cxn modelId="{9E1D9017-A0C8-4ADF-8A67-EDB758A534D5}" type="presOf" srcId="{939AE253-A7E2-4EBA-B997-5913C2301F5A}" destId="{E332D8F5-24D1-438A-A88D-967661A9895B}" srcOrd="1" destOrd="0" presId="urn:microsoft.com/office/officeart/2005/8/layout/orgChart1"/>
    <dgm:cxn modelId="{34FEC418-FAB9-446C-A86E-E257D476C34B}" type="presOf" srcId="{971055BB-A4A3-40DF-B506-54605DDFB45E}" destId="{89AC791A-EBF2-49B2-B781-7B106A580939}" srcOrd="1" destOrd="0" presId="urn:microsoft.com/office/officeart/2005/8/layout/orgChart1"/>
    <dgm:cxn modelId="{4D8F5819-2882-4F83-87FD-7F102DAD0EEA}" type="presOf" srcId="{C2E9E08C-C520-4750-9A46-099873830BC9}" destId="{43E1BAD0-C612-479E-A76D-9ADDAE663A0D}" srcOrd="0" destOrd="0" presId="urn:microsoft.com/office/officeart/2005/8/layout/orgChart1"/>
    <dgm:cxn modelId="{4FD88319-ABC9-4E6E-B1B4-378762F4E84A}" type="presOf" srcId="{0CFB7DD9-0DA5-4E4C-8DA3-9F1B6119F4C6}" destId="{90431E3C-4F42-4628-B684-A96161BFF430}" srcOrd="0" destOrd="0" presId="urn:microsoft.com/office/officeart/2005/8/layout/orgChart1"/>
    <dgm:cxn modelId="{8708181B-B604-4599-80E2-27518C633DFC}" type="presOf" srcId="{E9B60A7F-1B58-4875-83A0-42F3D1E4F7F2}" destId="{3CB9AA48-4DCA-4619-BFC8-64D366B147BD}" srcOrd="0" destOrd="0" presId="urn:microsoft.com/office/officeart/2005/8/layout/orgChart1"/>
    <dgm:cxn modelId="{D159FA1E-BB71-4147-952D-44241033ED3E}" type="presOf" srcId="{B0D67059-EF7D-43CE-8506-8E9B5868DB0C}" destId="{68D73AD6-74BD-4C2E-A75E-08E466B13B32}" srcOrd="0" destOrd="0" presId="urn:microsoft.com/office/officeart/2005/8/layout/orgChart1"/>
    <dgm:cxn modelId="{55751626-EAE9-4362-9E38-B30FADC5E16F}" type="presOf" srcId="{D433E747-1E2C-41A0-B616-42B31870972F}" destId="{A210511E-8313-4F28-990A-429088BA3B3F}" srcOrd="0" destOrd="0" presId="urn:microsoft.com/office/officeart/2005/8/layout/orgChart1"/>
    <dgm:cxn modelId="{2B29AB29-CDFE-4379-932E-51EA8D056B9B}" type="presOf" srcId="{D39B8DD9-864C-4EB7-9F89-A2AD12438034}" destId="{BA5F9E80-3D5F-4248-9517-86F91EE0B8E9}" srcOrd="0" destOrd="0" presId="urn:microsoft.com/office/officeart/2005/8/layout/orgChart1"/>
    <dgm:cxn modelId="{82A8412D-96E4-4EEF-BDD6-42BE89E6C128}" type="presOf" srcId="{8069AF01-BDAC-4439-9E0A-EA0793CC3F91}" destId="{6AC18233-7434-428C-A2CE-9E3AFE243EA4}" srcOrd="0" destOrd="0" presId="urn:microsoft.com/office/officeart/2005/8/layout/orgChart1"/>
    <dgm:cxn modelId="{808BB22D-F7AA-4E1C-9724-20E634247A8C}" type="presOf" srcId="{0995A2E3-0901-4DB1-B970-376B2E4006D1}" destId="{5A747205-C3F6-4D4A-B739-6135E3BDFDEF}" srcOrd="1" destOrd="0" presId="urn:microsoft.com/office/officeart/2005/8/layout/orgChart1"/>
    <dgm:cxn modelId="{808D7C2E-E77B-4DDD-BDAD-BCF2A56028F3}" type="presOf" srcId="{4EDFDD96-7D03-4644-B893-2DE9B7516A86}" destId="{3CB81659-FE3C-423B-9CBD-B42FC5FE3EA0}" srcOrd="0" destOrd="0" presId="urn:microsoft.com/office/officeart/2005/8/layout/orgChart1"/>
    <dgm:cxn modelId="{B92B522F-B1AC-4084-8435-05E3C9E7FBC1}" srcId="{4D29C077-1695-455C-9DAA-E15887E6F57B}" destId="{141B889D-94F1-45C1-B73E-13B1197CCCF8}" srcOrd="1" destOrd="0" parTransId="{16CD9583-BD21-4156-92D6-71CDB340D1AD}" sibTransId="{FD784D90-C615-46FC-910F-FBF76A3078C0}"/>
    <dgm:cxn modelId="{38870130-B653-4CB4-AA6B-8C2DE7DF901D}" type="presOf" srcId="{164BE56B-4369-439C-BDA1-AC866650347E}" destId="{6B9387C3-2537-4FE2-8085-C859547936ED}" srcOrd="0" destOrd="0" presId="urn:microsoft.com/office/officeart/2005/8/layout/orgChart1"/>
    <dgm:cxn modelId="{C89D3030-2EF7-4F25-B16E-6703010CC254}" type="presOf" srcId="{E2157045-4CE0-40CE-9C58-F4043DF91E33}" destId="{1B7F2636-2E39-4D22-BF8C-4574EEF2DA91}" srcOrd="0" destOrd="0" presId="urn:microsoft.com/office/officeart/2005/8/layout/orgChart1"/>
    <dgm:cxn modelId="{A1473330-2A6E-4D6E-A30F-F95BFCC5A8A1}" type="presOf" srcId="{FA075ABC-5CA4-4216-8E88-E8C82245409F}" destId="{250F3822-B3AA-4407-90AE-B2B8D5EF00A9}" srcOrd="0" destOrd="0" presId="urn:microsoft.com/office/officeart/2005/8/layout/orgChart1"/>
    <dgm:cxn modelId="{69E04E30-9019-4188-98C4-3A8AEBDBB9D6}" type="presOf" srcId="{85451313-C917-4F47-86D0-45E28E549CBF}" destId="{E1649481-31C2-4E1C-A6F3-BCDF01D59BD2}" srcOrd="0" destOrd="0" presId="urn:microsoft.com/office/officeart/2005/8/layout/orgChart1"/>
    <dgm:cxn modelId="{062A6B31-F121-45CD-BD7F-52489EC801F8}" type="presOf" srcId="{8BB75C25-BB24-48E5-95A1-BDDD2AD67385}" destId="{3A2A1C1F-CABC-4C98-B728-F262323AA994}" srcOrd="0" destOrd="0" presId="urn:microsoft.com/office/officeart/2005/8/layout/orgChart1"/>
    <dgm:cxn modelId="{36736F34-E94F-4DD5-988A-5F4E43072751}" type="presOf" srcId="{F9F2A175-3F9B-492A-AD89-F9ADF1AA7A09}" destId="{5D899EB1-B601-4B33-9059-E0DEFEEE5318}" srcOrd="0" destOrd="0" presId="urn:microsoft.com/office/officeart/2005/8/layout/orgChart1"/>
    <dgm:cxn modelId="{A52DC334-9534-4D65-A6AC-5B95B8E382BB}" type="presOf" srcId="{B5B99BBF-342F-4A4E-BF02-3E97606E944D}" destId="{0DBA4C10-E38C-4A57-BDCF-A02983AC86EA}" srcOrd="0" destOrd="0" presId="urn:microsoft.com/office/officeart/2005/8/layout/orgChart1"/>
    <dgm:cxn modelId="{ECD9BF35-09D7-4529-8793-8B237D1D23AE}" type="presOf" srcId="{4D29C077-1695-455C-9DAA-E15887E6F57B}" destId="{5368EF9E-E26F-497A-B704-8C2CE5D835FD}" srcOrd="0" destOrd="0" presId="urn:microsoft.com/office/officeart/2005/8/layout/orgChart1"/>
    <dgm:cxn modelId="{88B9A436-20B9-4ADC-B8AF-A1BC491FC4B7}" type="presOf" srcId="{DBA8929B-46BA-404E-A3FA-7CF913B88C72}" destId="{30BF917B-30C7-4244-BCF5-B6609692DE4D}" srcOrd="1" destOrd="0" presId="urn:microsoft.com/office/officeart/2005/8/layout/orgChart1"/>
    <dgm:cxn modelId="{7E914837-EF2A-4EA4-AADB-1947E60BCB50}" type="presOf" srcId="{95040E2D-3B14-4838-BEEC-F567F54E210A}" destId="{09DDE27A-7945-43B7-A1B3-41101585F0CD}" srcOrd="1" destOrd="0" presId="urn:microsoft.com/office/officeart/2005/8/layout/orgChart1"/>
    <dgm:cxn modelId="{DE9C8239-0598-4C48-90A2-01751F1B2D4D}" srcId="{4EDFDD96-7D03-4644-B893-2DE9B7516A86}" destId="{E2EC6A85-58E6-4744-B75D-3324C60D8EE8}" srcOrd="0" destOrd="0" parTransId="{B3501234-EF80-4869-A279-C89BC86861D2}" sibTransId="{10EFCF7D-53F5-4063-BC87-A0BF36C60784}"/>
    <dgm:cxn modelId="{90982640-C2A9-47CE-BE8C-6343EFEECEA3}" type="presOf" srcId="{B3F45023-E1E3-43C0-B67F-AD1E7AC51078}" destId="{4AD3C1C4-D9EA-4B51-B2F8-F5F336E1219A}" srcOrd="0" destOrd="0" presId="urn:microsoft.com/office/officeart/2005/8/layout/orgChart1"/>
    <dgm:cxn modelId="{7241A540-84B9-4248-A8C9-589551961BC5}" srcId="{8BB75C25-BB24-48E5-95A1-BDDD2AD67385}" destId="{03DF699C-3176-485E-B584-5BC85EC703ED}" srcOrd="2" destOrd="0" parTransId="{FDDB7EEE-AB02-47E4-B007-CB2A762CB7F9}" sibTransId="{C3CA3D16-3F50-4C85-8F9B-29F6F52233B6}"/>
    <dgm:cxn modelId="{7DEED640-6810-4797-B90D-D3823279C4C0}" type="presOf" srcId="{4661214A-AF71-4F01-B5B7-3BAE62E034B1}" destId="{2BE8EFB2-4965-4609-B1C2-1F507D9025F0}" srcOrd="0" destOrd="0" presId="urn:microsoft.com/office/officeart/2005/8/layout/orgChart1"/>
    <dgm:cxn modelId="{3CA3645B-6E14-410E-AAC4-2ECD8D545A82}" type="presOf" srcId="{52322AC1-C0CA-41C2-AF77-D47B568609DC}" destId="{9BEC86F9-D6A7-4983-86A8-08577B7FE900}" srcOrd="0" destOrd="0" presId="urn:microsoft.com/office/officeart/2005/8/layout/orgChart1"/>
    <dgm:cxn modelId="{0199475B-7199-410F-BD02-91B9F19317ED}" type="presOf" srcId="{1182CA2F-4565-428E-AE54-DA4AC822DEC1}" destId="{3A9512E9-E1C5-4380-BA7C-8E54B5E137DF}" srcOrd="0" destOrd="0" presId="urn:microsoft.com/office/officeart/2005/8/layout/orgChart1"/>
    <dgm:cxn modelId="{9245245D-FB30-4210-A1C8-0882868A3FF5}" type="presOf" srcId="{95643014-9364-4ED7-A23C-11FF87634454}" destId="{385FC982-988E-4302-98BB-D7460D5505EC}" srcOrd="1" destOrd="0" presId="urn:microsoft.com/office/officeart/2005/8/layout/orgChart1"/>
    <dgm:cxn modelId="{0FF47A5D-144D-4A0B-AF3E-0FE5456F2EA2}" type="presOf" srcId="{CB1CFF7C-42F1-4A09-8B31-0773BB970F24}" destId="{7BD786B8-780D-4619-A5E3-357F0EDAE2E4}" srcOrd="0" destOrd="0" presId="urn:microsoft.com/office/officeart/2005/8/layout/orgChart1"/>
    <dgm:cxn modelId="{8644AD5F-31F0-4DBC-86E2-5892541AD8EE}" type="presOf" srcId="{9792CF75-292C-4BCA-A2CF-C2FA68F001BD}" destId="{B935FBDA-E2AB-49CA-8CF4-754257839CD4}" srcOrd="0" destOrd="0" presId="urn:microsoft.com/office/officeart/2005/8/layout/orgChart1"/>
    <dgm:cxn modelId="{F7BEDB41-B360-48B2-B6B5-F2645A4AC039}" type="presOf" srcId="{141B889D-94F1-45C1-B73E-13B1197CCCF8}" destId="{12FDCBF9-3BED-482D-906E-5A09DB8EAF1F}" srcOrd="0" destOrd="0" presId="urn:microsoft.com/office/officeart/2005/8/layout/orgChart1"/>
    <dgm:cxn modelId="{595C4E62-E8D0-49F9-AA39-5E75115E599A}" type="presOf" srcId="{6ED531EE-0BC7-4118-B43F-7D8D436633A8}" destId="{422A5DCC-F310-4179-AC5C-3A5AA9AB3509}" srcOrd="0" destOrd="0" presId="urn:microsoft.com/office/officeart/2005/8/layout/orgChart1"/>
    <dgm:cxn modelId="{C552F942-1B7C-4AFB-821A-4D72C958D1CB}" srcId="{0102E4FE-20A8-44CB-9044-37DB2019EEF7}" destId="{8D244D8F-C792-40BC-A511-7DE39E45E194}" srcOrd="0" destOrd="0" parTransId="{D6922E7D-1806-4E3F-8FA5-876C5E53C8A8}" sibTransId="{0BEBD46A-8D07-492E-B8B0-DBB8BC9382EB}"/>
    <dgm:cxn modelId="{4A111A43-B2F1-4F57-B748-70E76AC93448}" type="presOf" srcId="{B71ED880-875D-465D-A2D5-7EFCE170B8F3}" destId="{A197E7E5-E989-4B2D-830A-0E09071FB3E2}" srcOrd="0" destOrd="0" presId="urn:microsoft.com/office/officeart/2005/8/layout/orgChart1"/>
    <dgm:cxn modelId="{FF2C5763-C03E-4C18-9661-7B269770897E}" type="presOf" srcId="{141B889D-94F1-45C1-B73E-13B1197CCCF8}" destId="{FC89D3C7-0538-47F7-AF35-0B577D30F034}" srcOrd="1" destOrd="0" presId="urn:microsoft.com/office/officeart/2005/8/layout/orgChart1"/>
    <dgm:cxn modelId="{5F576764-7FDA-4655-AD4C-AA88F8CAC47A}" type="presOf" srcId="{DCA270CC-2A75-49E7-89B8-4B3AC5996B9D}" destId="{B03BF5AB-02EB-4D85-9282-46894415A7C4}" srcOrd="0" destOrd="0" presId="urn:microsoft.com/office/officeart/2005/8/layout/orgChart1"/>
    <dgm:cxn modelId="{6AD01F65-6C9B-4B63-A547-42D4B20D3C2D}" type="presOf" srcId="{DC6688E7-45CF-4D5C-9D56-6B7EDCF265A6}" destId="{8361F233-B12E-43F6-BC39-A98D94AE39A7}" srcOrd="0" destOrd="0" presId="urn:microsoft.com/office/officeart/2005/8/layout/orgChart1"/>
    <dgm:cxn modelId="{8DC69C45-FADD-4292-94B9-73B4EEB6A6F6}" type="presOf" srcId="{E0114C20-3A39-4242-9BD4-7E3A42C0079E}" destId="{6E904246-481F-4578-AD91-764D29E6D564}" srcOrd="0" destOrd="0" presId="urn:microsoft.com/office/officeart/2005/8/layout/orgChart1"/>
    <dgm:cxn modelId="{0B06A545-F7FA-4E92-9E10-17CE2A337029}" srcId="{424E63FB-7A5E-47ED-BA8E-381C8BEA7B4D}" destId="{F02C7DD0-38B5-42D3-B052-77C4D943365F}" srcOrd="2" destOrd="0" parTransId="{3C430132-43C1-47EF-A156-1D4161537981}" sibTransId="{50138A85-8EAD-497B-B628-3150CB39B50A}"/>
    <dgm:cxn modelId="{0E791946-38FC-4E0E-AE73-90ADB91EFB4C}" type="presOf" srcId="{86AF350A-A785-4BDD-9C13-1E90196942B4}" destId="{61BD3AC5-6CF6-4CA9-B7DA-7A4EF7D20243}" srcOrd="1" destOrd="0" presId="urn:microsoft.com/office/officeart/2005/8/layout/orgChart1"/>
    <dgm:cxn modelId="{E8CAFC66-D95E-4317-A7A2-C8AB6D6BA112}" srcId="{025397C8-278A-4FB7-A986-A1B487EA1563}" destId="{602FD50F-130C-4E3A-A16E-AF79EACA12AD}" srcOrd="1" destOrd="0" parTransId="{7B0E8674-AF5F-4D43-BDCB-E4D39514593E}" sibTransId="{D4ED3A0A-0C59-4430-AAD1-BDBBC840422D}"/>
    <dgm:cxn modelId="{71E52267-2C6C-4C43-9C26-BB7FE9F94DFB}" type="presOf" srcId="{D6922E7D-1806-4E3F-8FA5-876C5E53C8A8}" destId="{7BA6A4CA-F40E-4826-9E97-95062F5DD647}" srcOrd="0" destOrd="0" presId="urn:microsoft.com/office/officeart/2005/8/layout/orgChart1"/>
    <dgm:cxn modelId="{21A35747-4880-4F6C-876E-A17AF373ED45}" type="presOf" srcId="{971055BB-A4A3-40DF-B506-54605DDFB45E}" destId="{8106893D-3A89-48AC-99BF-9C6C7C662C1D}" srcOrd="0" destOrd="0" presId="urn:microsoft.com/office/officeart/2005/8/layout/orgChart1"/>
    <dgm:cxn modelId="{DDD71448-F93D-4DC6-94D1-442C86DBB76A}" type="presOf" srcId="{3C430132-43C1-47EF-A156-1D4161537981}" destId="{86E8989D-6C94-463D-9588-B288E8BD09F3}" srcOrd="0" destOrd="0" presId="urn:microsoft.com/office/officeart/2005/8/layout/orgChart1"/>
    <dgm:cxn modelId="{F879D648-8F1E-4D40-A9D4-7480C2C369D7}" type="presOf" srcId="{FA075ABC-5CA4-4216-8E88-E8C82245409F}" destId="{3D5DCA66-EC03-4D13-94BA-59130EF8F053}" srcOrd="1" destOrd="0" presId="urn:microsoft.com/office/officeart/2005/8/layout/orgChart1"/>
    <dgm:cxn modelId="{0061B149-FD04-4DB0-913D-794FAE4DBA34}" type="presOf" srcId="{0BCFA6B9-4E38-4DF4-9665-C5288F643973}" destId="{0F5DED51-8461-4FB1-B14E-D45B6BB35082}" srcOrd="0" destOrd="0" presId="urn:microsoft.com/office/officeart/2005/8/layout/orgChart1"/>
    <dgm:cxn modelId="{8856D64A-8E4C-492F-98E8-19CF0A0ADB32}" srcId="{0CFB7DD9-0DA5-4E4C-8DA3-9F1B6119F4C6}" destId="{0102E4FE-20A8-44CB-9044-37DB2019EEF7}" srcOrd="0" destOrd="0" parTransId="{2EDE4DE6-9005-475A-8D27-D82D00EB941C}" sibTransId="{E7C380F8-F032-4E10-986A-DDA7FC09E32D}"/>
    <dgm:cxn modelId="{B7D1D96A-3311-42A6-95E4-ADEB798CB0AE}" srcId="{5901CCA6-EF9E-4F05-B532-AFA0A830E4D5}" destId="{23A96D7A-299B-4FA1-93D0-41E5DC2BDB0F}" srcOrd="0" destOrd="0" parTransId="{E9B60A7F-1B58-4875-83A0-42F3D1E4F7F2}" sibTransId="{2B4DE4BC-1F11-40B8-BA40-4D746CA32CA5}"/>
    <dgm:cxn modelId="{8462B66B-C676-4C39-BBAB-05B72AF2E2B5}" type="presOf" srcId="{D1202378-9FC3-4AC3-BEDF-808E27AD479B}" destId="{D6F69DBC-B0FC-4A08-AC6B-4A6F9030A7BD}" srcOrd="0" destOrd="0" presId="urn:microsoft.com/office/officeart/2005/8/layout/orgChart1"/>
    <dgm:cxn modelId="{5ED8AB6C-A119-4327-92A1-099C2EC4BC36}" type="presOf" srcId="{14FC8420-D447-4CEA-A3B7-61E9B3749D8E}" destId="{7E0A6FE1-6E00-44A1-81D8-0EA2A6CD2AF3}" srcOrd="1" destOrd="0" presId="urn:microsoft.com/office/officeart/2005/8/layout/orgChart1"/>
    <dgm:cxn modelId="{44C9B14D-97B5-447C-8116-748CFB94EF0C}" type="presOf" srcId="{B0D67059-EF7D-43CE-8506-8E9B5868DB0C}" destId="{4DEEC77A-A0DC-4AFB-B445-C99CA3365BBD}" srcOrd="1" destOrd="0" presId="urn:microsoft.com/office/officeart/2005/8/layout/orgChart1"/>
    <dgm:cxn modelId="{BD7C936E-0D7B-4EA2-A584-F455BD02D904}" type="presOf" srcId="{D9DCBD92-CF2D-4FA3-9650-A94983E94475}" destId="{DA2E93DC-BB1D-4564-889B-BA004AC786E0}" srcOrd="0" destOrd="0" presId="urn:microsoft.com/office/officeart/2005/8/layout/orgChart1"/>
    <dgm:cxn modelId="{3D7DD36E-03E9-42F3-B684-10B7CEF98A4F}" srcId="{86AF350A-A785-4BDD-9C13-1E90196942B4}" destId="{C2EFE54E-DDBB-4937-AAAF-B8E47F74D697}" srcOrd="2" destOrd="0" parTransId="{DCA270CC-2A75-49E7-89B8-4B3AC5996B9D}" sibTransId="{5DE7361D-5FEF-405C-B0DD-35377479C1DF}"/>
    <dgm:cxn modelId="{41461A6F-3FB0-450E-B1E7-684A4F850F42}" type="presOf" srcId="{BA15DC88-B838-4D5F-9BAB-AEC02AE52521}" destId="{3E37B074-43F2-410D-A821-9E917734EEF5}" srcOrd="0" destOrd="0" presId="urn:microsoft.com/office/officeart/2005/8/layout/orgChart1"/>
    <dgm:cxn modelId="{78A8F96F-65AB-4817-B59B-1CCBE524BAEB}" type="presOf" srcId="{B6389D6D-8AE5-4B3C-9BF6-CF7D2B974EDD}" destId="{9E9FE827-52A4-46D9-ADB2-E6FCF0B9E008}" srcOrd="0" destOrd="0" presId="urn:microsoft.com/office/officeart/2005/8/layout/orgChart1"/>
    <dgm:cxn modelId="{B5DB2070-84A7-4844-88D7-3ED7D7495686}" type="presOf" srcId="{1FA32465-79CA-43E4-925C-FD9E6E9DB5C8}" destId="{0A7F2A46-750F-45A2-923B-D1292802EFDC}" srcOrd="0" destOrd="0" presId="urn:microsoft.com/office/officeart/2005/8/layout/orgChart1"/>
    <dgm:cxn modelId="{0060CB53-C15C-459C-8333-6A063C8A178D}" type="presOf" srcId="{EB3954B5-74F4-4D11-9DFF-EA78507987CB}" destId="{85AD923B-4E2C-411D-9E05-6D278E6E3C31}" srcOrd="0" destOrd="0" presId="urn:microsoft.com/office/officeart/2005/8/layout/orgChart1"/>
    <dgm:cxn modelId="{1EF57F54-7FF1-4BCA-B554-F47525DAC682}" type="presOf" srcId="{8C33E48E-334E-4A5A-8828-C0B9BC12F4DA}" destId="{77F7510F-B277-4906-B909-89B1197C6DDE}" srcOrd="0" destOrd="0" presId="urn:microsoft.com/office/officeart/2005/8/layout/orgChart1"/>
    <dgm:cxn modelId="{FA008174-6CF0-466E-98A0-97CB4007ED32}" type="presOf" srcId="{D6F5CD79-D3E1-4B19-9C25-479267A00537}" destId="{C0FC47CA-1988-459D-A473-7CA219823B7E}" srcOrd="1" destOrd="0" presId="urn:microsoft.com/office/officeart/2005/8/layout/orgChart1"/>
    <dgm:cxn modelId="{5D389D54-A2F2-4C4E-A0BF-FA3070C0117F}" type="presOf" srcId="{7B0E8674-AF5F-4D43-BDCB-E4D39514593E}" destId="{47A21D83-0961-4F83-B6CA-9111DF4BFE52}" srcOrd="0" destOrd="0" presId="urn:microsoft.com/office/officeart/2005/8/layout/orgChart1"/>
    <dgm:cxn modelId="{BE68DC54-234E-40CF-A5BB-D05FB7CA7DA4}" type="presOf" srcId="{E2EC6A85-58E6-4744-B75D-3324C60D8EE8}" destId="{07D3882F-C235-4ADF-85FA-E879C777A8BD}" srcOrd="0" destOrd="0" presId="urn:microsoft.com/office/officeart/2005/8/layout/orgChart1"/>
    <dgm:cxn modelId="{71E1FC74-41F8-4DF4-A6BB-6C89D145CA37}" srcId="{141B889D-94F1-45C1-B73E-13B1197CCCF8}" destId="{0AE7F9E1-765F-489C-8C16-C7BC49A797D9}" srcOrd="0" destOrd="0" parTransId="{3D8434B0-DEC5-4689-B419-C2351767EFE8}" sibTransId="{CF6AFA8F-6A63-4640-9B8A-9183306EE590}"/>
    <dgm:cxn modelId="{33AE2555-4F2E-48A5-820C-7C3275D578CC}" type="presOf" srcId="{3F1B0426-4EA2-44D9-B786-B19B57D5CDEA}" destId="{1CAB3E94-5855-4109-A43C-7105AD6B26D0}" srcOrd="0" destOrd="0" presId="urn:microsoft.com/office/officeart/2005/8/layout/orgChart1"/>
    <dgm:cxn modelId="{87F57775-E1CB-4C77-B610-15C932BBF66E}" srcId="{424E63FB-7A5E-47ED-BA8E-381C8BEA7B4D}" destId="{92338313-9670-40FB-8040-D372407E9060}" srcOrd="0" destOrd="0" parTransId="{2EA6147A-4097-4648-9D83-1C15EC3F6E1C}" sibTransId="{B4F18F56-A5B4-46E0-A7B1-FB49C24421E2}"/>
    <dgm:cxn modelId="{4A2D8755-0CFA-4659-993A-B10BB913460D}" srcId="{0102E4FE-20A8-44CB-9044-37DB2019EEF7}" destId="{0E0D5914-9733-4438-B53B-E54AED87BD25}" srcOrd="3" destOrd="0" parTransId="{C025D0B3-3453-4AB2-8C0D-9A93251A872D}" sibTransId="{D8EA48FB-2A30-458D-BF2E-504D6379A563}"/>
    <dgm:cxn modelId="{A408C955-36A2-4BC4-89EE-0D024A0A01CB}" type="presOf" srcId="{4D29C077-1695-455C-9DAA-E15887E6F57B}" destId="{05AACB28-368C-4D12-A4D8-69764BDEC4D2}" srcOrd="1" destOrd="0" presId="urn:microsoft.com/office/officeart/2005/8/layout/orgChart1"/>
    <dgm:cxn modelId="{5FA28F56-013D-472F-83B5-8187D8315481}" srcId="{86AF350A-A785-4BDD-9C13-1E90196942B4}" destId="{85C9611E-0EC3-4C90-8306-3D5D07DB36F8}" srcOrd="1" destOrd="0" parTransId="{4661214A-AF71-4F01-B5B7-3BAE62E034B1}" sibTransId="{764D2B81-8F9C-4694-8817-C29E2CC9CA1B}"/>
    <dgm:cxn modelId="{5674EC56-7284-401F-B9D6-9A37111DF4F8}" srcId="{8D244D8F-C792-40BC-A511-7DE39E45E194}" destId="{939AE253-A7E2-4EBA-B997-5913C2301F5A}" srcOrd="1" destOrd="0" parTransId="{CB1CFF7C-42F1-4A09-8B31-0773BB970F24}" sibTransId="{8DE7717C-7BB8-4CCA-B0CF-5548E227F675}"/>
    <dgm:cxn modelId="{0D177177-CC49-45DA-9B1D-0C68337694D7}" type="presOf" srcId="{602FD50F-130C-4E3A-A16E-AF79EACA12AD}" destId="{9F318731-EE01-4314-B79B-B28E42749C00}" srcOrd="1" destOrd="0" presId="urn:microsoft.com/office/officeart/2005/8/layout/orgChart1"/>
    <dgm:cxn modelId="{67E77658-FFB6-4A88-B6C3-41392E475930}" type="presOf" srcId="{0995A2E3-0901-4DB1-B970-376B2E4006D1}" destId="{133F1FC1-C5F4-4978-BE80-4F349F36D878}" srcOrd="0" destOrd="0" presId="urn:microsoft.com/office/officeart/2005/8/layout/orgChart1"/>
    <dgm:cxn modelId="{9130E858-8CB9-455C-B201-B41D81602AF2}" type="presOf" srcId="{E2EA6942-20E6-4D51-99FA-C77C5E746936}" destId="{3CD38DC8-3D55-42DE-AD09-72BD953ED7FB}" srcOrd="0" destOrd="0" presId="urn:microsoft.com/office/officeart/2005/8/layout/orgChart1"/>
    <dgm:cxn modelId="{B8148879-7E8B-4EBB-B4C5-F94F35DB8242}" type="presOf" srcId="{3AAD358E-6C2A-45F6-8AEA-D2444BC59F19}" destId="{70257897-199B-45F9-8E97-4C591BBE7B3F}" srcOrd="0" destOrd="0" presId="urn:microsoft.com/office/officeart/2005/8/layout/orgChart1"/>
    <dgm:cxn modelId="{8A23767A-9C3F-4E56-B59C-7BCEF096F684}" srcId="{025397C8-278A-4FB7-A986-A1B487EA1563}" destId="{E5E9916D-2D7F-4C7A-A808-9D88F35BEC5A}" srcOrd="2" destOrd="0" parTransId="{6EAA41E0-1525-42E3-A200-48C0FE921E72}" sibTransId="{4AC5E256-0BCF-40E2-AEBD-A2D1A83F40E2}"/>
    <dgm:cxn modelId="{A3DA7F5A-5DB7-430C-A7E5-4309E3E7E1B1}" type="presOf" srcId="{92338313-9670-40FB-8040-D372407E9060}" destId="{8DE7EDC3-030C-4699-90B7-316F8F127CEA}" srcOrd="1" destOrd="0" presId="urn:microsoft.com/office/officeart/2005/8/layout/orgChart1"/>
    <dgm:cxn modelId="{FAD9897A-D3F6-463F-94FA-BCC36CE5020F}" type="presOf" srcId="{0E0D5914-9733-4438-B53B-E54AED87BD25}" destId="{FA21B6A8-6AD6-40C5-B832-097165E0AE14}" srcOrd="1" destOrd="0" presId="urn:microsoft.com/office/officeart/2005/8/layout/orgChart1"/>
    <dgm:cxn modelId="{A07DF47A-E69E-495D-8151-1979DE0A5DDB}" srcId="{8BB75C25-BB24-48E5-95A1-BDDD2AD67385}" destId="{9AC19E5E-60C4-4CCF-A20E-E4814BC2FE9B}" srcOrd="1" destOrd="0" parTransId="{699FA3BB-5DDB-4810-8B78-2E6BCAFDC511}" sibTransId="{9F54CECE-D9A6-4EF2-828B-C01621ECF61C}"/>
    <dgm:cxn modelId="{B7AC3C7B-0BE2-4CB7-AD76-781FCBA9DD7A}" srcId="{8D244D8F-C792-40BC-A511-7DE39E45E194}" destId="{B6389D6D-8AE5-4B3C-9BF6-CF7D2B974EDD}" srcOrd="0" destOrd="0" parTransId="{B5B99BBF-342F-4A4E-BF02-3E97606E944D}" sibTransId="{9C75F253-3EC4-44CF-866A-C32D08314D38}"/>
    <dgm:cxn modelId="{4387ED7D-5F3B-46B7-B12F-728CA68BFDFD}" type="presOf" srcId="{602FD50F-130C-4E3A-A16E-AF79EACA12AD}" destId="{D2B32FE8-B300-4E27-B7E2-297F3F999D4E}" srcOrd="0" destOrd="0" presId="urn:microsoft.com/office/officeart/2005/8/layout/orgChart1"/>
    <dgm:cxn modelId="{AD7A2B7E-65A4-458E-9A02-A18E82620DF8}" srcId="{D5E38E4B-FED5-4A0A-B8AA-8728BED387A3}" destId="{B3F45023-E1E3-43C0-B67F-AD1E7AC51078}" srcOrd="0" destOrd="0" parTransId="{E5DFCF2D-8524-4D8E-AB8B-E3229044C96F}" sibTransId="{C9664199-173B-4D48-A43A-0784E524AFD3}"/>
    <dgm:cxn modelId="{3B8C2C7E-1AC5-4D33-8EB4-62FE85A6FAAC}" type="presOf" srcId="{0B7A893D-34B0-412E-AAF0-3244FF37E62F}" destId="{9DEDF8A8-C04F-4AC1-8A19-9C5D980141EF}" srcOrd="1" destOrd="0" presId="urn:microsoft.com/office/officeart/2005/8/layout/orgChart1"/>
    <dgm:cxn modelId="{0D060F7F-D22F-469A-B962-517FC4A8C9C4}" type="presOf" srcId="{905ED552-0ABB-46DE-A60F-9DB1B7EBD348}" destId="{9A7C5AEB-3E05-469A-95FE-22BE39540AE1}" srcOrd="0" destOrd="0" presId="urn:microsoft.com/office/officeart/2005/8/layout/orgChart1"/>
    <dgm:cxn modelId="{25A7167F-DF6B-457E-B8FE-9C31F86E5923}" srcId="{97F38E1B-8B0A-4C1C-BB0E-8DC2824BBDEE}" destId="{86AF350A-A785-4BDD-9C13-1E90196942B4}" srcOrd="0" destOrd="0" parTransId="{B7B3C6AE-DFBB-46A9-8CF1-A1BD803B9409}" sibTransId="{E2A53098-4FAB-4666-9DF9-9FFC35DA3367}"/>
    <dgm:cxn modelId="{B03B967F-C3CE-4D91-8C3D-E05DB935023E}" type="presOf" srcId="{3D8434B0-DEC5-4689-B419-C2351767EFE8}" destId="{169005B3-517D-446B-8623-5C28558CA7A7}" srcOrd="0" destOrd="0" presId="urn:microsoft.com/office/officeart/2005/8/layout/orgChart1"/>
    <dgm:cxn modelId="{78F8A77F-3D5D-443E-AB45-7507602FEAFC}" type="presOf" srcId="{E2EC6A85-58E6-4744-B75D-3324C60D8EE8}" destId="{4AFAFC3D-D935-4174-82BF-8097E9CC3978}" srcOrd="1" destOrd="0" presId="urn:microsoft.com/office/officeart/2005/8/layout/orgChart1"/>
    <dgm:cxn modelId="{F5434380-EE7A-4C58-85E9-DB2A7BFB5C4F}" type="presOf" srcId="{E1527C33-CFAA-4D8C-96C4-EE6231657CF0}" destId="{BFBC2126-85D5-4905-9E09-CD7F082453CB}" srcOrd="0" destOrd="0" presId="urn:microsoft.com/office/officeart/2005/8/layout/orgChart1"/>
    <dgm:cxn modelId="{90A22982-35F0-4690-94C9-FC7C7030A57B}" srcId="{0102E4FE-20A8-44CB-9044-37DB2019EEF7}" destId="{14FC8420-D447-4CEA-A3B7-61E9B3749D8E}" srcOrd="10" destOrd="0" parTransId="{EC92CB9E-5DFE-4287-A9E0-4954C06F656B}" sibTransId="{E9188AE6-C38D-49A6-B8A2-AFBE7B3ACBE6}"/>
    <dgm:cxn modelId="{D517D982-681A-4DAE-9E56-05D025F2E211}" type="presOf" srcId="{424E63FB-7A5E-47ED-BA8E-381C8BEA7B4D}" destId="{14354306-A96D-4F9B-B8CB-A1923889D20A}" srcOrd="1" destOrd="0" presId="urn:microsoft.com/office/officeart/2005/8/layout/orgChart1"/>
    <dgm:cxn modelId="{C88B0785-661D-4872-A092-A6D5614FDF76}" type="presOf" srcId="{F02C7DD0-38B5-42D3-B052-77C4D943365F}" destId="{55EC4157-21BA-4613-8860-42E031585862}" srcOrd="0" destOrd="0" presId="urn:microsoft.com/office/officeart/2005/8/layout/orgChart1"/>
    <dgm:cxn modelId="{E81CE985-107C-46B1-8E6F-793372A7C67F}" srcId="{905ED552-0ABB-46DE-A60F-9DB1B7EBD348}" destId="{52322AC1-C0CA-41C2-AF77-D47B568609DC}" srcOrd="1" destOrd="0" parTransId="{3BEC5FAA-E4C7-4310-8BF8-FD6D6CD14D5D}" sibTransId="{4588D817-B422-419C-9BBD-93DD8ABBE6F3}"/>
    <dgm:cxn modelId="{33CF0486-E025-41B6-8F27-64163D372171}" type="presOf" srcId="{E5E9916D-2D7F-4C7A-A808-9D88F35BEC5A}" destId="{45F7E176-19D1-4464-8B8E-5DA14B89B110}" srcOrd="1" destOrd="0" presId="urn:microsoft.com/office/officeart/2005/8/layout/orgChart1"/>
    <dgm:cxn modelId="{D1030D86-CB23-4D86-BC42-698014A897BB}" type="presOf" srcId="{8AB7F64B-E4EA-46A3-93C5-530B1FAAB3A0}" destId="{521FEAC1-E658-4130-BFDF-12AE10471782}" srcOrd="1" destOrd="0" presId="urn:microsoft.com/office/officeart/2005/8/layout/orgChart1"/>
    <dgm:cxn modelId="{82302886-17A7-429D-8D7C-52E436DEA112}" type="presOf" srcId="{699FA3BB-5DDB-4810-8B78-2E6BCAFDC511}" destId="{679EAA6C-B7F9-45B1-B314-064B1497E450}" srcOrd="0" destOrd="0" presId="urn:microsoft.com/office/officeart/2005/8/layout/orgChart1"/>
    <dgm:cxn modelId="{4E93C486-E90A-41E7-B05E-43F91CB80ADD}" type="presOf" srcId="{14FC8420-D447-4CEA-A3B7-61E9B3749D8E}" destId="{F5C5F184-CBCA-49BB-BB7E-3A0146C211EB}" srcOrd="0" destOrd="0" presId="urn:microsoft.com/office/officeart/2005/8/layout/orgChart1"/>
    <dgm:cxn modelId="{F2F8CE87-B432-4916-B3C1-8E5F38EE889E}" type="presOf" srcId="{D5E38E4B-FED5-4A0A-B8AA-8728BED387A3}" destId="{E962E456-3173-4AC8-9388-5565756FFDF6}" srcOrd="1" destOrd="0" presId="urn:microsoft.com/office/officeart/2005/8/layout/orgChart1"/>
    <dgm:cxn modelId="{79070288-5C9A-4FF0-A4A2-C0FC63E73C51}" type="presOf" srcId="{8AB7F64B-E4EA-46A3-93C5-530B1FAAB3A0}" destId="{CC7BE9CC-9E44-4B05-9B0E-850124C3547A}" srcOrd="0" destOrd="0" presId="urn:microsoft.com/office/officeart/2005/8/layout/orgChart1"/>
    <dgm:cxn modelId="{CE967688-7026-4EBB-B0C1-EB6675E5AE4C}" type="presOf" srcId="{424E63FB-7A5E-47ED-BA8E-381C8BEA7B4D}" destId="{9A681887-5350-4EBE-BD43-C7E4297AB1BB}" srcOrd="0" destOrd="0" presId="urn:microsoft.com/office/officeart/2005/8/layout/orgChart1"/>
    <dgm:cxn modelId="{A7FE1189-2CA3-4F66-BB33-005F1BC7F96D}" type="presOf" srcId="{905ED552-0ABB-46DE-A60F-9DB1B7EBD348}" destId="{43608A5B-3808-436B-B5E2-C7A7C19E947A}" srcOrd="1" destOrd="0" presId="urn:microsoft.com/office/officeart/2005/8/layout/orgChart1"/>
    <dgm:cxn modelId="{3F556089-3E6D-4134-BF8E-D2F6980AA93E}" type="presOf" srcId="{EC6FE534-DC93-4BE9-B221-533498D9AED2}" destId="{F6623B5E-28CD-4799-A9B4-EF636C566661}" srcOrd="1" destOrd="0" presId="urn:microsoft.com/office/officeart/2005/8/layout/orgChart1"/>
    <dgm:cxn modelId="{234D7E89-07F1-497E-8378-F744874A3083}" type="presOf" srcId="{85C9611E-0EC3-4C90-8306-3D5D07DB36F8}" destId="{539C43EC-88FB-4101-BFC8-2FBEBDCB1CFF}" srcOrd="0" destOrd="0" presId="urn:microsoft.com/office/officeart/2005/8/layout/orgChart1"/>
    <dgm:cxn modelId="{770E8D90-516F-4401-BB99-E794D053AAD6}" type="presOf" srcId="{EB3954B5-74F4-4D11-9DFF-EA78507987CB}" destId="{C9DB3AA9-5EBE-4CDD-923A-16B2DED554F2}" srcOrd="1" destOrd="0" presId="urn:microsoft.com/office/officeart/2005/8/layout/orgChart1"/>
    <dgm:cxn modelId="{E0450A93-CBE9-427A-BC18-27EC12232989}" type="presOf" srcId="{B3F45023-E1E3-43C0-B67F-AD1E7AC51078}" destId="{4FD3DBF8-676D-4E03-B8F9-806C982C4A66}" srcOrd="1" destOrd="0" presId="urn:microsoft.com/office/officeart/2005/8/layout/orgChart1"/>
    <dgm:cxn modelId="{89D03694-0C93-4F1C-B1B4-E034EBA6CBA3}" type="presOf" srcId="{69233474-9CCA-431F-ADB6-8A9AC33B9697}" destId="{3957C82B-EF44-4844-A580-BC3F07AD1AAA}" srcOrd="1" destOrd="0" presId="urn:microsoft.com/office/officeart/2005/8/layout/orgChart1"/>
    <dgm:cxn modelId="{F00AE697-1A16-469A-B39D-A23DF3C7DA95}" type="presOf" srcId="{88490267-DE7E-43ED-9BD4-B69E754A61AF}" destId="{B1F44040-471C-47E1-AA4C-3975425FBF91}" srcOrd="0" destOrd="0" presId="urn:microsoft.com/office/officeart/2005/8/layout/orgChart1"/>
    <dgm:cxn modelId="{FA311D98-6CC1-46A7-A06B-FD9A7AA7D2B8}" type="presOf" srcId="{03DF699C-3176-485E-B584-5BC85EC703ED}" destId="{0CE7C8B4-F8E6-429D-8C4A-73E9D60DCB81}" srcOrd="0" destOrd="0" presId="urn:microsoft.com/office/officeart/2005/8/layout/orgChart1"/>
    <dgm:cxn modelId="{BD8A4098-D363-4F86-8817-05EE9013D60E}" srcId="{95040E2D-3B14-4838-BEEC-F567F54E210A}" destId="{EEBC546B-B559-4568-BA01-5B4728E41645}" srcOrd="0" destOrd="0" parTransId="{90B63618-9D9F-4204-8A72-1DEDB9B6A698}" sibTransId="{30517B5D-AB6C-4E1B-B1ED-2E6BBC68EE6B}"/>
    <dgm:cxn modelId="{8F7AF59A-A09C-4519-9E40-16E103BD2262}" srcId="{0102E4FE-20A8-44CB-9044-37DB2019EEF7}" destId="{809B22AA-EB2B-4C4F-82C3-E979FD4CF357}" srcOrd="1" destOrd="0" parTransId="{E2EA6942-20E6-4D51-99FA-C77C5E746936}" sibTransId="{A3E7A7D9-26B8-432D-9CFA-8BAF85BB66C1}"/>
    <dgm:cxn modelId="{F5DE8E9D-0BC3-4BC5-B083-F3D3BE68C28D}" type="presOf" srcId="{900F9B5B-B201-41E8-9F84-B4A949821D1D}" destId="{1F22369C-0260-40DE-A3B5-80071F47CFCB}" srcOrd="0" destOrd="0" presId="urn:microsoft.com/office/officeart/2005/8/layout/orgChart1"/>
    <dgm:cxn modelId="{81FD159E-5A59-47E9-B060-7B6EB6770B16}" srcId="{0102E4FE-20A8-44CB-9044-37DB2019EEF7}" destId="{905ED552-0ABB-46DE-A60F-9DB1B7EBD348}" srcOrd="9" destOrd="0" parTransId="{C0EE7375-36E6-4281-9237-5F5EEB6505C0}" sibTransId="{CB9B60C3-837E-4475-B99D-FCE33FAFF27C}"/>
    <dgm:cxn modelId="{3EA162A4-132D-4878-91E4-70CE79167425}" srcId="{4D29C077-1695-455C-9DAA-E15887E6F57B}" destId="{4EDFDD96-7D03-4644-B893-2DE9B7516A86}" srcOrd="0" destOrd="0" parTransId="{F488A61D-44A8-43AF-8D4D-9D3A28823A7B}" sibTransId="{DE838DFA-5D9A-4E00-863E-4F0DE9AEC1FD}"/>
    <dgm:cxn modelId="{48BB0AA5-8343-45DD-B460-7B85C011C3C5}" type="presOf" srcId="{85C9611E-0EC3-4C90-8306-3D5D07DB36F8}" destId="{37EBA9EA-1D7F-4485-92CD-286075E5D657}" srcOrd="1" destOrd="0" presId="urn:microsoft.com/office/officeart/2005/8/layout/orgChart1"/>
    <dgm:cxn modelId="{D8EA20A6-B6D0-4295-B2C8-34CD0A3BC19C}" type="presOf" srcId="{69233474-9CCA-431F-ADB6-8A9AC33B9697}" destId="{D7DDDDF0-F44F-4B11-B08B-89295DEA0D9B}" srcOrd="0" destOrd="0" presId="urn:microsoft.com/office/officeart/2005/8/layout/orgChart1"/>
    <dgm:cxn modelId="{5AD83DA6-0287-4CEB-8840-535F99373162}" type="presOf" srcId="{BA15DC88-B838-4D5F-9BAB-AEC02AE52521}" destId="{18956CBC-7222-4318-87FC-278CA4BA3768}" srcOrd="1" destOrd="0" presId="urn:microsoft.com/office/officeart/2005/8/layout/orgChart1"/>
    <dgm:cxn modelId="{3B5F0FA7-1D94-416A-8F5E-7726C8A8E7AE}" type="presOf" srcId="{025397C8-278A-4FB7-A986-A1B487EA1563}" destId="{9BBA3CDE-9578-436B-BF71-4165D5256392}" srcOrd="1" destOrd="0" presId="urn:microsoft.com/office/officeart/2005/8/layout/orgChart1"/>
    <dgm:cxn modelId="{AB9603A9-BC6A-4390-BD18-B3AA2F41282F}" type="presOf" srcId="{6B85388F-71E1-413F-BC49-7FE13C99924D}" destId="{DE31F5CA-37EC-464B-A0E1-9AB790904E0E}" srcOrd="0" destOrd="0" presId="urn:microsoft.com/office/officeart/2005/8/layout/orgChart1"/>
    <dgm:cxn modelId="{CB01DDAA-322F-4E93-B83B-9A9E38B0760B}" type="presOf" srcId="{1FA32465-79CA-43E4-925C-FD9E6E9DB5C8}" destId="{5517D03E-AE9E-4827-A3FB-E1CF8BC3E098}" srcOrd="1" destOrd="0" presId="urn:microsoft.com/office/officeart/2005/8/layout/orgChart1"/>
    <dgm:cxn modelId="{1C1260AB-BAF4-4931-8E4E-3824C368E924}" type="presOf" srcId="{DE3A69AF-6A99-44DF-9639-EBEE5AEFB1D1}" destId="{146AE877-ED15-459B-B13B-AF077FBB1040}" srcOrd="0" destOrd="0" presId="urn:microsoft.com/office/officeart/2005/8/layout/orgChart1"/>
    <dgm:cxn modelId="{664174AB-14F3-47D0-8F79-855BBC5AC88E}" type="presOf" srcId="{23233B68-EF36-4A02-9B22-884F03B3E17D}" destId="{9A5CF57C-EB3E-499E-8222-998FF1F3959E}" srcOrd="0" destOrd="0" presId="urn:microsoft.com/office/officeart/2005/8/layout/orgChart1"/>
    <dgm:cxn modelId="{1B1757AC-E291-4B8F-BC7A-29CAB0E91522}" type="presOf" srcId="{D9DCBD92-CF2D-4FA3-9650-A94983E94475}" destId="{99E07EF1-2718-49C0-B549-73DEE2F71416}" srcOrd="1" destOrd="0" presId="urn:microsoft.com/office/officeart/2005/8/layout/orgChart1"/>
    <dgm:cxn modelId="{6CE5CEAC-6ACC-4255-BB12-342AB0AE8369}" type="presOf" srcId="{97F38E1B-8B0A-4C1C-BB0E-8DC2824BBDEE}" destId="{CAC4091A-492F-459B-840C-5F8135FD499F}" srcOrd="1" destOrd="0" presId="urn:microsoft.com/office/officeart/2005/8/layout/orgChart1"/>
    <dgm:cxn modelId="{3F11EFAC-B19D-417A-9CCB-411CE3099F2D}" type="presOf" srcId="{0102E4FE-20A8-44CB-9044-37DB2019EEF7}" destId="{2D883808-430E-40D8-8B07-302E85302A34}" srcOrd="0" destOrd="0" presId="urn:microsoft.com/office/officeart/2005/8/layout/orgChart1"/>
    <dgm:cxn modelId="{F98C2CAE-0CFD-4A5C-83E6-BA55CF07333B}" type="presOf" srcId="{C0EE7375-36E6-4281-9237-5F5EEB6505C0}" destId="{6859BE2E-B830-41FF-B86E-79A6F3BD7732}" srcOrd="0" destOrd="0" presId="urn:microsoft.com/office/officeart/2005/8/layout/orgChart1"/>
    <dgm:cxn modelId="{633930AF-3D0C-41D1-9D7D-CE36CB354B8D}" srcId="{424E63FB-7A5E-47ED-BA8E-381C8BEA7B4D}" destId="{8AB7F64B-E4EA-46A3-93C5-530B1FAAB3A0}" srcOrd="1" destOrd="0" parTransId="{D39B8DD9-864C-4EB7-9F89-A2AD12438034}" sibTransId="{54EF72C2-E454-4C40-B61C-C5559BC6F1E5}"/>
    <dgm:cxn modelId="{723A64B0-8C44-4CB5-83E4-D268F58686A7}" type="presOf" srcId="{8BB75C25-BB24-48E5-95A1-BDDD2AD67385}" destId="{0393B6C4-B4FB-4B6B-8DB5-37B9B19AABA4}" srcOrd="1" destOrd="0" presId="urn:microsoft.com/office/officeart/2005/8/layout/orgChart1"/>
    <dgm:cxn modelId="{7D90D0B1-CF9F-4A95-8A24-0345C1BD0CB6}" type="presOf" srcId="{92338313-9670-40FB-8040-D372407E9060}" destId="{A4073290-40FA-4447-A63D-A2A271E69369}" srcOrd="0" destOrd="0" presId="urn:microsoft.com/office/officeart/2005/8/layout/orgChart1"/>
    <dgm:cxn modelId="{EB7666B2-9172-4ECA-B786-AA8FF5113B06}" srcId="{D9DCBD92-CF2D-4FA3-9650-A94983E94475}" destId="{C2E9E08C-C520-4750-9A46-099873830BC9}" srcOrd="1" destOrd="0" parTransId="{304499FC-178F-457B-9D5B-07C633CC1703}" sibTransId="{E69A4F6D-B644-4F5C-905D-8356A91FFF6D}"/>
    <dgm:cxn modelId="{915B7BB2-22C3-4032-8062-59C88F493245}" type="presOf" srcId="{95643014-9364-4ED7-A23C-11FF87634454}" destId="{3C105CD6-BA5F-4296-9ADF-C21FEB294665}" srcOrd="0" destOrd="0" presId="urn:microsoft.com/office/officeart/2005/8/layout/orgChart1"/>
    <dgm:cxn modelId="{B07A9DB3-3CB5-4876-A7FB-0445F9D33B92}" type="presOf" srcId="{3BEC5FAA-E4C7-4310-8BF8-FD6D6CD14D5D}" destId="{89695C53-1190-42FF-86CC-6209DC216241}" srcOrd="0" destOrd="0" presId="urn:microsoft.com/office/officeart/2005/8/layout/orgChart1"/>
    <dgm:cxn modelId="{2BBFBFB3-9575-4C01-9758-C9373EB496DF}" srcId="{95040E2D-3B14-4838-BEEC-F567F54E210A}" destId="{8C33E48E-334E-4A5A-8828-C0B9BC12F4DA}" srcOrd="2" destOrd="0" parTransId="{7D1D39C0-3B18-4635-B1B3-C21C05B51E72}" sibTransId="{A5953739-5348-4DF8-A599-C497DF96D7A3}"/>
    <dgm:cxn modelId="{A0E7CBB5-7CF0-42B5-B4E5-93BE50449420}" srcId="{D9DCBD92-CF2D-4FA3-9650-A94983E94475}" destId="{DBA8929B-46BA-404E-A3FA-7CF913B88C72}" srcOrd="0" destOrd="0" parTransId="{F26A6E32-5FBB-4CEF-BDB1-A0E805534581}" sibTransId="{79AC7646-F02B-4EB7-8D35-A654D4BDF6CA}"/>
    <dgm:cxn modelId="{D71B68B6-3DAD-4FED-9B44-59FFCA15B0EE}" type="presOf" srcId="{EEBC546B-B559-4568-BA01-5B4728E41645}" destId="{37D81D16-9FA0-4B40-B026-416F10041A47}" srcOrd="1" destOrd="0" presId="urn:microsoft.com/office/officeart/2005/8/layout/orgChart1"/>
    <dgm:cxn modelId="{186A48B7-C942-4DF9-A198-0A87B53EE7B1}" srcId="{D5E38E4B-FED5-4A0A-B8AA-8728BED387A3}" destId="{B71ED880-875D-465D-A2D5-7EFCE170B8F3}" srcOrd="2" destOrd="0" parTransId="{6B85388F-71E1-413F-BC49-7FE13C99924D}" sibTransId="{01D8D94A-4C5D-44E8-A195-D41DEB2DABF3}"/>
    <dgm:cxn modelId="{02726BBB-A793-416B-8A98-F88455A0A603}" srcId="{14FC8420-D447-4CEA-A3B7-61E9B3749D8E}" destId="{F9F2A175-3F9B-492A-AD89-F9ADF1AA7A09}" srcOrd="2" destOrd="0" parTransId="{23233B68-EF36-4A02-9B22-884F03B3E17D}" sibTransId="{6783538A-23B6-4D3C-92F4-06CBADDFC98C}"/>
    <dgm:cxn modelId="{A8FF89BC-D15C-44F3-A67F-96B16824950D}" srcId="{5901CCA6-EF9E-4F05-B532-AFA0A830E4D5}" destId="{0995A2E3-0901-4DB1-B970-376B2E4006D1}" srcOrd="2" destOrd="0" parTransId="{902A754E-4E4A-4847-B0A2-573B94308BBA}" sibTransId="{20A0EF64-0AD3-4993-8E6E-5758F9AF64A6}"/>
    <dgm:cxn modelId="{21C18FBE-38F8-4F4C-A586-7435BBF5F356}" srcId="{0E0D5914-9733-4438-B53B-E54AED87BD25}" destId="{D5E38E4B-FED5-4A0A-B8AA-8728BED387A3}" srcOrd="1" destOrd="0" parTransId="{1182CA2F-4565-428E-AE54-DA4AC822DEC1}" sibTransId="{F08BBAFC-C54C-473A-A12D-0976EAD9F5B1}"/>
    <dgm:cxn modelId="{56F4D0BE-0ED8-4594-B6D7-DCDE4C6272FE}" srcId="{86AF350A-A785-4BDD-9C13-1E90196942B4}" destId="{95643014-9364-4ED7-A23C-11FF87634454}" srcOrd="0" destOrd="0" parTransId="{E0114C20-3A39-4242-9BD4-7E3A42C0079E}" sibTransId="{17FCF78A-6A89-4118-8006-45387E9866DB}"/>
    <dgm:cxn modelId="{ED5470C1-AB29-4CA6-AECE-4E0CA2253756}" type="presOf" srcId="{0B7A893D-34B0-412E-AAF0-3244FF37E62F}" destId="{D7E2BE4B-D731-4C2D-BA0A-37C902784000}" srcOrd="0" destOrd="0" presId="urn:microsoft.com/office/officeart/2005/8/layout/orgChart1"/>
    <dgm:cxn modelId="{1FD485C1-9579-439E-B46A-5762BA2261CB}" type="presOf" srcId="{85451313-C917-4F47-86D0-45E28E549CBF}" destId="{F7BA7A01-E042-4673-AEEA-303514636AFE}" srcOrd="1" destOrd="0" presId="urn:microsoft.com/office/officeart/2005/8/layout/orgChart1"/>
    <dgm:cxn modelId="{AAB1BAC1-D077-48E7-9C2D-25DF86AB4463}" type="presOf" srcId="{304499FC-178F-457B-9D5B-07C633CC1703}" destId="{0E0991F3-3934-47BB-929B-D5CDA7641990}" srcOrd="0" destOrd="0" presId="urn:microsoft.com/office/officeart/2005/8/layout/orgChart1"/>
    <dgm:cxn modelId="{6495E3C4-3BDB-4AD3-8081-02B53DF7EEB4}" type="presOf" srcId="{03DF699C-3176-485E-B584-5BC85EC703ED}" destId="{7568918C-FAD7-4B9E-9AFD-52C33DE56813}" srcOrd="1" destOrd="0" presId="urn:microsoft.com/office/officeart/2005/8/layout/orgChart1"/>
    <dgm:cxn modelId="{D47AF2C4-C5C6-41E8-AF20-6AA1F2D1A0A0}" type="presOf" srcId="{809B22AA-EB2B-4C4F-82C3-E979FD4CF357}" destId="{D170E32D-A43F-4CAB-A215-C289F970862B}" srcOrd="0" destOrd="0" presId="urn:microsoft.com/office/officeart/2005/8/layout/orgChart1"/>
    <dgm:cxn modelId="{5CAF98C7-9507-44FC-847F-3F699DE3D3C1}" type="presOf" srcId="{86AF350A-A785-4BDD-9C13-1E90196942B4}" destId="{72AC346F-2F4E-444E-8C03-BD2A3B5A48DE}" srcOrd="0" destOrd="0" presId="urn:microsoft.com/office/officeart/2005/8/layout/orgChart1"/>
    <dgm:cxn modelId="{923D39C9-13F7-4D27-9428-7CE4D6ECE615}" type="presOf" srcId="{F9F2A175-3F9B-492A-AD89-F9ADF1AA7A09}" destId="{8BDE05C9-053F-4C88-B814-2D8F4E34080D}" srcOrd="1" destOrd="0" presId="urn:microsoft.com/office/officeart/2005/8/layout/orgChart1"/>
    <dgm:cxn modelId="{FCAD58C9-5B71-4F8F-A3A8-89272EB477CB}" srcId="{86AF350A-A785-4BDD-9C13-1E90196942B4}" destId="{EB3954B5-74F4-4D11-9DFF-EA78507987CB}" srcOrd="4" destOrd="0" parTransId="{DC6688E7-45CF-4D5C-9D56-6B7EDCF265A6}" sibTransId="{70FF2AC7-4C12-4FF5-B75D-B14A9D9AF54D}"/>
    <dgm:cxn modelId="{F7A145CB-AB41-45AF-8AD4-9A4F753B3ABE}" srcId="{14FC8420-D447-4CEA-A3B7-61E9B3749D8E}" destId="{BA15DC88-B838-4D5F-9BAB-AEC02AE52521}" srcOrd="0" destOrd="0" parTransId="{D1202378-9FC3-4AC3-BEDF-808E27AD479B}" sibTransId="{D7CB81A8-D79B-493F-A54C-A4C32D5B5C19}"/>
    <dgm:cxn modelId="{0F199FCF-6584-4D12-8255-282B8CD87339}" type="presOf" srcId="{8C33E48E-334E-4A5A-8828-C0B9BC12F4DA}" destId="{58BCE5B8-AC2E-43FA-B884-A8172ED4A1EB}" srcOrd="1" destOrd="0" presId="urn:microsoft.com/office/officeart/2005/8/layout/orgChart1"/>
    <dgm:cxn modelId="{65560AD0-6C88-43F5-B078-9CE9580210A9}" type="presOf" srcId="{622DEC80-7D3B-489F-A688-386A3BD66E46}" destId="{FB2DB3A0-B135-43F4-88C1-E9985DD92C2D}" srcOrd="0" destOrd="0" presId="urn:microsoft.com/office/officeart/2005/8/layout/orgChart1"/>
    <dgm:cxn modelId="{AC4424D0-8905-4F4D-A03E-744F87C17718}" type="presOf" srcId="{F26A6E32-5FBB-4CEF-BDB1-A0E805534581}" destId="{D7968CA6-A26B-43C5-9036-51384CB0A177}" srcOrd="0" destOrd="0" presId="urn:microsoft.com/office/officeart/2005/8/layout/orgChart1"/>
    <dgm:cxn modelId="{05578DD0-72FA-4B08-B907-FC8A62576561}" srcId="{141B889D-94F1-45C1-B73E-13B1197CCCF8}" destId="{1FA32465-79CA-43E4-925C-FD9E6E9DB5C8}" srcOrd="1" destOrd="0" parTransId="{88490267-DE7E-43ED-9BD4-B69E754A61AF}" sibTransId="{8D80A846-3714-4A60-AA9F-DC844391A49A}"/>
    <dgm:cxn modelId="{C708B5D0-C5FE-494F-9D5D-D9B5422D0437}" type="presOf" srcId="{D6F5CD79-D3E1-4B19-9C25-479267A00537}" destId="{6BAFA004-7462-4BB3-8CF7-8F0FAE532698}" srcOrd="0" destOrd="0" presId="urn:microsoft.com/office/officeart/2005/8/layout/orgChart1"/>
    <dgm:cxn modelId="{B8B231D3-F81B-43FC-B30C-11210BC39595}" type="presOf" srcId="{C025D0B3-3453-4AB2-8C0D-9A93251A872D}" destId="{86920179-6629-4A58-BB26-F9023C6AB676}" srcOrd="0" destOrd="0" presId="urn:microsoft.com/office/officeart/2005/8/layout/orgChart1"/>
    <dgm:cxn modelId="{43B281D3-8F00-4A89-B7B6-9381AB870F68}" type="presOf" srcId="{EEBC546B-B559-4568-BA01-5B4728E41645}" destId="{526919F3-C1E6-4952-AA9E-1BBFD8E73B82}" srcOrd="0" destOrd="0" presId="urn:microsoft.com/office/officeart/2005/8/layout/orgChart1"/>
    <dgm:cxn modelId="{C8D70DD5-D354-4E8F-8F36-FBA22A5D2A2C}" srcId="{14FC8420-D447-4CEA-A3B7-61E9B3749D8E}" destId="{85451313-C917-4F47-86D0-45E28E549CBF}" srcOrd="1" destOrd="0" parTransId="{900F9B5B-B201-41E8-9F84-B4A949821D1D}" sibTransId="{C35E62F3-BCD5-4083-A380-44B10F6F2EC2}"/>
    <dgm:cxn modelId="{EC1174D6-5140-45EC-9F00-844394FA6A37}" type="presOf" srcId="{05FE1BD5-3C3C-4969-A364-2530D63BDBD5}" destId="{95E2F74E-F847-4663-BDD7-0A5BE67FBABA}" srcOrd="0" destOrd="0" presId="urn:microsoft.com/office/officeart/2005/8/layout/orgChart1"/>
    <dgm:cxn modelId="{C6FE6CD8-A901-422C-875C-5FBBBE15EF5E}" srcId="{8BB75C25-BB24-48E5-95A1-BDDD2AD67385}" destId="{D6F5CD79-D3E1-4B19-9C25-479267A00537}" srcOrd="0" destOrd="0" parTransId="{50F4CB47-0DB9-4B1E-9C75-49682DAC2BF7}" sibTransId="{A143E528-DC48-443B-967F-FB0FB6BA3C02}"/>
    <dgm:cxn modelId="{496F4ED8-D7F4-4E9A-B664-2745C8E9EB45}" type="presOf" srcId="{6EAA41E0-1525-42E3-A200-48C0FE921E72}" destId="{807FA1CB-C069-4A68-9F5B-ACB3D4C2C7E0}" srcOrd="0" destOrd="0" presId="urn:microsoft.com/office/officeart/2005/8/layout/orgChart1"/>
    <dgm:cxn modelId="{762B93D8-43BE-42B3-8DE5-31247C71202B}" srcId="{025397C8-278A-4FB7-A986-A1B487EA1563}" destId="{E2157045-4CE0-40CE-9C58-F4043DF91E33}" srcOrd="0" destOrd="0" parTransId="{F9922145-9B07-49CE-9FA6-B33C82D2B167}" sibTransId="{CA9D8683-4E32-4861-94E8-CF694F4D3BA3}"/>
    <dgm:cxn modelId="{E5B87BD9-5758-4E57-A95E-B45A44873B71}" type="presOf" srcId="{025397C8-278A-4FB7-A986-A1B487EA1563}" destId="{0BF99F41-2B36-4860-856E-9B912562371F}" srcOrd="0" destOrd="0" presId="urn:microsoft.com/office/officeart/2005/8/layout/orgChart1"/>
    <dgm:cxn modelId="{0251C4D9-523C-45CA-9883-E36842905429}" srcId="{0E0D5914-9733-4438-B53B-E54AED87BD25}" destId="{D9DCBD92-CF2D-4FA3-9650-A94983E94475}" srcOrd="0" destOrd="0" parTransId="{8069AF01-BDAC-4439-9E0A-EA0793CC3F91}" sibTransId="{62C8F385-660A-4B36-9BB8-6E3C7FF1DC57}"/>
    <dgm:cxn modelId="{0A56C6DB-31EB-4084-BBA3-788918B1E116}" srcId="{0102E4FE-20A8-44CB-9044-37DB2019EEF7}" destId="{025397C8-278A-4FB7-A986-A1B487EA1563}" srcOrd="4" destOrd="0" parTransId="{E9CCBF3B-F7D4-491B-83ED-166AFDD5DD30}" sibTransId="{03B4767C-E8A0-48F5-82FB-BC0CE0CB73C2}"/>
    <dgm:cxn modelId="{DD8252DC-97BB-4DFF-98B1-5F9768B012B2}" srcId="{86AF350A-A785-4BDD-9C13-1E90196942B4}" destId="{0B7A893D-34B0-412E-AAF0-3244FF37E62F}" srcOrd="3" destOrd="0" parTransId="{2DEF8671-DD1F-49D2-9C9F-4553E51583D7}" sibTransId="{EBBEF2A1-4FE1-445D-81D1-191137E58D73}"/>
    <dgm:cxn modelId="{3373B1DC-8BDF-4205-B23F-51E567D0D24F}" type="presOf" srcId="{23A96D7A-299B-4FA1-93D0-41E5DC2BDB0F}" destId="{3E384659-83D8-423C-BB17-F82A4F217F6D}" srcOrd="1" destOrd="0" presId="urn:microsoft.com/office/officeart/2005/8/layout/orgChart1"/>
    <dgm:cxn modelId="{50BFF7DD-F1F7-43DF-9057-627C4B6D0B71}" srcId="{95040E2D-3B14-4838-BEEC-F567F54E210A}" destId="{6D7A7801-BB63-47F6-9F80-2013CE3C8DDF}" srcOrd="1" destOrd="0" parTransId="{0BCFA6B9-4E38-4DF4-9665-C5288F643973}" sibTransId="{EBEA04DD-D1A7-4439-860D-D29C5EFB821E}"/>
    <dgm:cxn modelId="{8503C1DE-AC4F-49F5-A01D-D01C6B7949BF}" type="presOf" srcId="{9AC19E5E-60C4-4CCF-A20E-E4814BC2FE9B}" destId="{2B3E1A31-C7DC-446D-8815-E4813D3B56B4}" srcOrd="1" destOrd="0" presId="urn:microsoft.com/office/officeart/2005/8/layout/orgChart1"/>
    <dgm:cxn modelId="{9156A2E0-D475-46A0-8577-6C3A549E2BD9}" type="presOf" srcId="{0AE7F9E1-765F-489C-8C16-C7BC49A797D9}" destId="{1E535ECD-9FA0-4E48-A66D-29FFB2AB3B70}" srcOrd="0" destOrd="0" presId="urn:microsoft.com/office/officeart/2005/8/layout/orgChart1"/>
    <dgm:cxn modelId="{37BBD9E1-7D3D-4144-B35F-F19164A2F2AB}" type="presOf" srcId="{D5E38E4B-FED5-4A0A-B8AA-8728BED387A3}" destId="{4CB3CC10-420D-4678-B4A5-F650FAA65CFC}" srcOrd="0" destOrd="0" presId="urn:microsoft.com/office/officeart/2005/8/layout/orgChart1"/>
    <dgm:cxn modelId="{14C546E3-3C2E-474D-828F-11A57961D2DD}" srcId="{8D244D8F-C792-40BC-A511-7DE39E45E194}" destId="{6ED531EE-0BC7-4118-B43F-7D8D436633A8}" srcOrd="2" destOrd="0" parTransId="{D433E747-1E2C-41A0-B616-42B31870972F}" sibTransId="{9952C637-C4F1-4218-8E7E-3DE34073E216}"/>
    <dgm:cxn modelId="{E4EC70E3-9BE3-4283-968C-7E15BDAAF5E4}" type="presOf" srcId="{B7B3C6AE-DFBB-46A9-8CF1-A1BD803B9409}" destId="{AAF5925E-A439-4734-BFA7-0209F1E034E0}" srcOrd="0" destOrd="0" presId="urn:microsoft.com/office/officeart/2005/8/layout/orgChart1"/>
    <dgm:cxn modelId="{503263E4-7B66-4BF3-A288-435D9CB1CA44}" type="presOf" srcId="{F9922145-9B07-49CE-9FA6-B33C82D2B167}" destId="{56484EBF-27DD-4386-A0D0-1C14F44B1EE2}" srcOrd="0" destOrd="0" presId="urn:microsoft.com/office/officeart/2005/8/layout/orgChart1"/>
    <dgm:cxn modelId="{1A5C29E5-0B3D-496A-BA37-3EE497555743}" srcId="{905ED552-0ABB-46DE-A60F-9DB1B7EBD348}" destId="{FA075ABC-5CA4-4216-8E88-E8C82245409F}" srcOrd="0" destOrd="0" parTransId="{164BE56B-4369-439C-BDA1-AC866650347E}" sibTransId="{EA0AF616-A340-440B-B802-02F18855477B}"/>
    <dgm:cxn modelId="{F1E5D1E5-1268-475D-944D-33E806414ACD}" srcId="{4EDFDD96-7D03-4644-B893-2DE9B7516A86}" destId="{69233474-9CCA-431F-ADB6-8A9AC33B9697}" srcOrd="1" destOrd="0" parTransId="{622DEC80-7D3B-489F-A688-386A3BD66E46}" sibTransId="{FEF84970-9F64-4C23-B93E-C7AB8DAB57E9}"/>
    <dgm:cxn modelId="{88E5DDE6-53F2-45A3-A07E-C98496C11EA3}" type="presOf" srcId="{F488A61D-44A8-43AF-8D4D-9D3A28823A7B}" destId="{1BDCF5C3-4938-4F7B-B883-DFE0EA2513F2}" srcOrd="0" destOrd="0" presId="urn:microsoft.com/office/officeart/2005/8/layout/orgChart1"/>
    <dgm:cxn modelId="{299339E8-72C8-433C-B580-034B3FE83807}" type="presOf" srcId="{7D1D39C0-3B18-4635-B1B3-C21C05B51E72}" destId="{9B6FEAED-F609-4ABD-9830-664C2D6F7BC4}" srcOrd="0" destOrd="0" presId="urn:microsoft.com/office/officeart/2005/8/layout/orgChart1"/>
    <dgm:cxn modelId="{6DAB62E9-864C-4C9C-8886-EA5D51E3922B}" type="presOf" srcId="{8D244D8F-C792-40BC-A511-7DE39E45E194}" destId="{CFC31A14-C94F-4A30-A37D-372AB6BB600E}" srcOrd="1" destOrd="0" presId="urn:microsoft.com/office/officeart/2005/8/layout/orgChart1"/>
    <dgm:cxn modelId="{D48BC6E9-F065-4D7D-95AC-4A641C9795FC}" type="presOf" srcId="{E2157045-4CE0-40CE-9C58-F4043DF91E33}" destId="{BE7BA4D1-2AE1-4EE2-9EB8-A1B10CF23D87}" srcOrd="1" destOrd="0" presId="urn:microsoft.com/office/officeart/2005/8/layout/orgChart1"/>
    <dgm:cxn modelId="{6653DBE9-E800-4E34-83B7-9A0F3EDEA357}" type="presOf" srcId="{2EA6147A-4097-4648-9D83-1C15EC3F6E1C}" destId="{6185FE85-F6F3-47C8-BC28-BFB1B081D47E}" srcOrd="0" destOrd="0" presId="urn:microsoft.com/office/officeart/2005/8/layout/orgChart1"/>
    <dgm:cxn modelId="{23928FEB-63DA-4568-BC9D-8F478395DBF1}" type="presOf" srcId="{2DEF8671-DD1F-49D2-9C9F-4553E51583D7}" destId="{B894DCF4-CFDB-4655-8C23-F6D06D7FB345}" srcOrd="0" destOrd="0" presId="urn:microsoft.com/office/officeart/2005/8/layout/orgChart1"/>
    <dgm:cxn modelId="{5EDD0FED-515D-4AA5-ADC5-288E1B30F747}" type="presOf" srcId="{16CD9583-BD21-4156-92D6-71CDB340D1AD}" destId="{4E82E1CF-9093-4966-8BDC-BA30B6523B53}" srcOrd="0" destOrd="0" presId="urn:microsoft.com/office/officeart/2005/8/layout/orgChart1"/>
    <dgm:cxn modelId="{3CE88EEE-8D32-4992-8108-A4A89E90A5A0}" type="presOf" srcId="{EC6FE534-DC93-4BE9-B221-533498D9AED2}" destId="{463E7EE2-DBFC-4EC0-BC5D-9271F221CF32}" srcOrd="0" destOrd="0" presId="urn:microsoft.com/office/officeart/2005/8/layout/orgChart1"/>
    <dgm:cxn modelId="{B9E349F0-4F98-45DC-A283-F904DA4213BB}" type="presOf" srcId="{FDDB7EEE-AB02-47E4-B007-CB2A762CB7F9}" destId="{52777498-AA74-4FC2-849F-C626B27A45B4}" srcOrd="0" destOrd="0" presId="urn:microsoft.com/office/officeart/2005/8/layout/orgChart1"/>
    <dgm:cxn modelId="{439259F0-86A1-4284-BA34-80A24E688DD0}" type="presOf" srcId="{D010ED04-6422-41B1-9B13-F8A5DEAE4019}" destId="{F7AFC83A-F643-4B31-A648-492A9D843CA2}" srcOrd="0" destOrd="0" presId="urn:microsoft.com/office/officeart/2005/8/layout/orgChart1"/>
    <dgm:cxn modelId="{B7C325F1-39DE-4DC9-B626-7241513D8869}" type="presOf" srcId="{23A96D7A-299B-4FA1-93D0-41E5DC2BDB0F}" destId="{26279B3F-32AE-429E-8F6A-E74283514EA0}" srcOrd="0" destOrd="0" presId="urn:microsoft.com/office/officeart/2005/8/layout/orgChart1"/>
    <dgm:cxn modelId="{92F2DEF2-629B-4230-8138-3DEF5A285113}" srcId="{0102E4FE-20A8-44CB-9044-37DB2019EEF7}" destId="{424E63FB-7A5E-47ED-BA8E-381C8BEA7B4D}" srcOrd="6" destOrd="0" parTransId="{EBA54DFC-7FC3-4D85-9BDE-4CD347E65E6C}" sibTransId="{2D9C3D49-28A1-4E2A-8676-8FA2D87A3E83}"/>
    <dgm:cxn modelId="{65E43AF3-D179-485C-9875-A65A828CCE76}" srcId="{0102E4FE-20A8-44CB-9044-37DB2019EEF7}" destId="{95040E2D-3B14-4838-BEEC-F567F54E210A}" srcOrd="8" destOrd="0" parTransId="{05FE1BD5-3C3C-4969-A364-2530D63BDBD5}" sibTransId="{399F0C6F-6EF9-4BBC-8F8C-74F7043B2B33}"/>
    <dgm:cxn modelId="{76AFFBF3-8B0F-4A64-A9A7-C2C918D2DDAB}" type="presOf" srcId="{0E0D5914-9733-4438-B53B-E54AED87BD25}" destId="{34D49AA9-33AD-4664-ADD5-58DB46EB9889}" srcOrd="0" destOrd="0" presId="urn:microsoft.com/office/officeart/2005/8/layout/orgChart1"/>
    <dgm:cxn modelId="{FE8D82F4-EC2E-4B25-896E-A6EFC76B2206}" srcId="{5901CCA6-EF9E-4F05-B532-AFA0A830E4D5}" destId="{EC6FE534-DC93-4BE9-B221-533498D9AED2}" srcOrd="1" destOrd="0" parTransId="{E1527C33-CFAA-4D8C-96C4-EE6231657CF0}" sibTransId="{6D81CC16-08CD-4BC5-BB25-D3C60D9BB3C1}"/>
    <dgm:cxn modelId="{ACB5DCF4-1FA6-47F2-8A70-171FF15CE645}" type="presOf" srcId="{E5E9916D-2D7F-4C7A-A808-9D88F35BEC5A}" destId="{0B77889B-AAC5-42E4-AC09-1DCA681BCE85}" srcOrd="0" destOrd="0" presId="urn:microsoft.com/office/officeart/2005/8/layout/orgChart1"/>
    <dgm:cxn modelId="{1A9211F5-692D-4C37-836F-1AF68B28C9DA}" type="presOf" srcId="{90B63618-9D9F-4204-8A72-1DEDB9B6A698}" destId="{3C4B0898-FEC4-425E-A62E-7F6211895D7C}" srcOrd="0" destOrd="0" presId="urn:microsoft.com/office/officeart/2005/8/layout/orgChart1"/>
    <dgm:cxn modelId="{E02A45F5-BE79-41F1-BEC6-9398AAF40E33}" type="presOf" srcId="{C2EFE54E-DDBB-4937-AAAF-B8E47F74D697}" destId="{042C9D99-30E8-4921-9EB9-EBE3CC59CEFA}" srcOrd="0" destOrd="0" presId="urn:microsoft.com/office/officeart/2005/8/layout/orgChart1"/>
    <dgm:cxn modelId="{AA07A1F6-0C48-4CB5-B06C-47ECA1DF8F78}" type="presOf" srcId="{E9CCBF3B-F7D4-491B-83ED-166AFDD5DD30}" destId="{58BDADBE-4402-4E6F-AB6F-E215C5F98D3B}" srcOrd="0" destOrd="0" presId="urn:microsoft.com/office/officeart/2005/8/layout/orgChart1"/>
    <dgm:cxn modelId="{5B6CFCF8-25A2-4BDC-9211-21E220344ED1}" srcId="{D5E38E4B-FED5-4A0A-B8AA-8728BED387A3}" destId="{971055BB-A4A3-40DF-B506-54605DDFB45E}" srcOrd="1" destOrd="0" parTransId="{C550F39E-3BA4-4EAC-9784-E4F9E4C6F36F}" sibTransId="{5A6147EE-A1A6-4614-9DEB-0D9C46F37CEE}"/>
    <dgm:cxn modelId="{2612AAF9-55D8-414F-B4D5-759315DA46EB}" type="presOf" srcId="{4EDFDD96-7D03-4644-B893-2DE9B7516A86}" destId="{77CF87DA-CCF2-4C68-A6A1-315D38F06E97}" srcOrd="1" destOrd="0" presId="urn:microsoft.com/office/officeart/2005/8/layout/orgChart1"/>
    <dgm:cxn modelId="{B17642FC-9DED-4CE8-BE3B-6D377205DBDA}" type="presOf" srcId="{6ED531EE-0BC7-4118-B43F-7D8D436633A8}" destId="{D3BF38C4-1821-483A-AF26-C595ECE3E4B8}" srcOrd="1" destOrd="0" presId="urn:microsoft.com/office/officeart/2005/8/layout/orgChart1"/>
    <dgm:cxn modelId="{6348E3FD-B00F-406B-A60D-F9F13394914D}" type="presOf" srcId="{C2E9E08C-C520-4750-9A46-099873830BC9}" destId="{C3AE13EC-AD65-415B-91FB-22FE48785A3E}" srcOrd="1" destOrd="0" presId="urn:microsoft.com/office/officeart/2005/8/layout/orgChart1"/>
    <dgm:cxn modelId="{E0D141FE-B156-4047-B481-09435D233CAE}" type="presOf" srcId="{B71ED880-875D-465D-A2D5-7EFCE170B8F3}" destId="{1E232AB8-93DE-4845-B58C-D44BE96A7024}" srcOrd="1" destOrd="0" presId="urn:microsoft.com/office/officeart/2005/8/layout/orgChart1"/>
    <dgm:cxn modelId="{A458D9FF-02BE-46BB-A088-C5A5D4DCC19A}" srcId="{0102E4FE-20A8-44CB-9044-37DB2019EEF7}" destId="{8BB75C25-BB24-48E5-95A1-BDDD2AD67385}" srcOrd="5" destOrd="0" parTransId="{3F1B0426-4EA2-44D9-B786-B19B57D5CDEA}" sibTransId="{287D1434-478B-40C7-839D-02EB6EAF6F1B}"/>
    <dgm:cxn modelId="{DD86D10E-AF37-47C1-942E-2072C3DEB604}" type="presParOf" srcId="{90431E3C-4F42-4628-B684-A96161BFF430}" destId="{0A189367-43EC-4441-BA08-750B899E9469}" srcOrd="0" destOrd="0" presId="urn:microsoft.com/office/officeart/2005/8/layout/orgChart1"/>
    <dgm:cxn modelId="{1E93ACAD-73CC-4251-B857-482C058E4D23}" type="presParOf" srcId="{0A189367-43EC-4441-BA08-750B899E9469}" destId="{360B80A0-E040-4231-A03C-DB4C44D4BEFB}" srcOrd="0" destOrd="0" presId="urn:microsoft.com/office/officeart/2005/8/layout/orgChart1"/>
    <dgm:cxn modelId="{B29628BB-39CB-4048-ADB6-DE7158A9B3DD}" type="presParOf" srcId="{360B80A0-E040-4231-A03C-DB4C44D4BEFB}" destId="{2D883808-430E-40D8-8B07-302E85302A34}" srcOrd="0" destOrd="0" presId="urn:microsoft.com/office/officeart/2005/8/layout/orgChart1"/>
    <dgm:cxn modelId="{9428FF49-B526-4D4E-B0A3-7F6A759986BE}" type="presParOf" srcId="{360B80A0-E040-4231-A03C-DB4C44D4BEFB}" destId="{9E54A725-AB28-4B64-8844-9F2951F2F7A0}" srcOrd="1" destOrd="0" presId="urn:microsoft.com/office/officeart/2005/8/layout/orgChart1"/>
    <dgm:cxn modelId="{F77FF77F-3BFF-472B-A120-140FB40B3538}" type="presParOf" srcId="{0A189367-43EC-4441-BA08-750B899E9469}" destId="{7F944FE0-D2A2-405B-BDFF-D1897631706E}" srcOrd="1" destOrd="0" presId="urn:microsoft.com/office/officeart/2005/8/layout/orgChart1"/>
    <dgm:cxn modelId="{4693DDC0-E7D2-4777-9786-DF6018EA28F2}" type="presParOf" srcId="{7F944FE0-D2A2-405B-BDFF-D1897631706E}" destId="{7BA6A4CA-F40E-4826-9E97-95062F5DD647}" srcOrd="0" destOrd="0" presId="urn:microsoft.com/office/officeart/2005/8/layout/orgChart1"/>
    <dgm:cxn modelId="{3951A4D8-10F5-4317-831E-24914A8C8A5E}" type="presParOf" srcId="{7F944FE0-D2A2-405B-BDFF-D1897631706E}" destId="{92667419-A898-4795-9C0E-361368D04859}" srcOrd="1" destOrd="0" presId="urn:microsoft.com/office/officeart/2005/8/layout/orgChart1"/>
    <dgm:cxn modelId="{3319D6B5-4267-4DF9-B702-2CADDD1C44C3}" type="presParOf" srcId="{92667419-A898-4795-9C0E-361368D04859}" destId="{AAE10948-D9BD-4DD1-83D8-C8238129D30B}" srcOrd="0" destOrd="0" presId="urn:microsoft.com/office/officeart/2005/8/layout/orgChart1"/>
    <dgm:cxn modelId="{9D8D8E9F-F4F4-4566-A625-08109AD62BFC}" type="presParOf" srcId="{AAE10948-D9BD-4DD1-83D8-C8238129D30B}" destId="{4C9AEEA8-806B-4221-A8CF-497F84C39D63}" srcOrd="0" destOrd="0" presId="urn:microsoft.com/office/officeart/2005/8/layout/orgChart1"/>
    <dgm:cxn modelId="{448E3435-43C6-4B1E-A7A4-4202A1A17AC0}" type="presParOf" srcId="{AAE10948-D9BD-4DD1-83D8-C8238129D30B}" destId="{CFC31A14-C94F-4A30-A37D-372AB6BB600E}" srcOrd="1" destOrd="0" presId="urn:microsoft.com/office/officeart/2005/8/layout/orgChart1"/>
    <dgm:cxn modelId="{3E69577F-8421-472A-84A9-060EBAF1B9C7}" type="presParOf" srcId="{92667419-A898-4795-9C0E-361368D04859}" destId="{CFE7259F-6958-4278-B532-D5FC1DF0D989}" srcOrd="1" destOrd="0" presId="urn:microsoft.com/office/officeart/2005/8/layout/orgChart1"/>
    <dgm:cxn modelId="{92C57947-AA1F-4264-8E4A-4473FDB2FC66}" type="presParOf" srcId="{CFE7259F-6958-4278-B532-D5FC1DF0D989}" destId="{0DBA4C10-E38C-4A57-BDCF-A02983AC86EA}" srcOrd="0" destOrd="0" presId="urn:microsoft.com/office/officeart/2005/8/layout/orgChart1"/>
    <dgm:cxn modelId="{D2303088-32E4-4076-B157-F667078A64AA}" type="presParOf" srcId="{CFE7259F-6958-4278-B532-D5FC1DF0D989}" destId="{F7237C1A-2CFF-4D51-9968-643427BC722B}" srcOrd="1" destOrd="0" presId="urn:microsoft.com/office/officeart/2005/8/layout/orgChart1"/>
    <dgm:cxn modelId="{1B91D049-CFE0-4A04-BFB2-192B800A48BF}" type="presParOf" srcId="{F7237C1A-2CFF-4D51-9968-643427BC722B}" destId="{1F57570A-EEE3-4AFE-93E6-A976FA9C51FD}" srcOrd="0" destOrd="0" presId="urn:microsoft.com/office/officeart/2005/8/layout/orgChart1"/>
    <dgm:cxn modelId="{13579F5B-A430-4773-B3CE-A8BF1D033602}" type="presParOf" srcId="{1F57570A-EEE3-4AFE-93E6-A976FA9C51FD}" destId="{9E9FE827-52A4-46D9-ADB2-E6FCF0B9E008}" srcOrd="0" destOrd="0" presId="urn:microsoft.com/office/officeart/2005/8/layout/orgChart1"/>
    <dgm:cxn modelId="{6824E510-CB83-4998-88EE-DA343B963E0D}" type="presParOf" srcId="{1F57570A-EEE3-4AFE-93E6-A976FA9C51FD}" destId="{45896F72-DCDE-404C-8364-99656B71FFED}" srcOrd="1" destOrd="0" presId="urn:microsoft.com/office/officeart/2005/8/layout/orgChart1"/>
    <dgm:cxn modelId="{9AE6D902-FA8B-4EFA-8B07-34E1167CE82E}" type="presParOf" srcId="{F7237C1A-2CFF-4D51-9968-643427BC722B}" destId="{09EFDB36-E5B0-4407-8281-5D4F42D16FE0}" srcOrd="1" destOrd="0" presId="urn:microsoft.com/office/officeart/2005/8/layout/orgChart1"/>
    <dgm:cxn modelId="{B72CBE39-3761-4186-9757-547D660ED334}" type="presParOf" srcId="{F7237C1A-2CFF-4D51-9968-643427BC722B}" destId="{2F132628-32FC-4EEB-A2B9-3E7324D5716F}" srcOrd="2" destOrd="0" presId="urn:microsoft.com/office/officeart/2005/8/layout/orgChart1"/>
    <dgm:cxn modelId="{FB8EBB5C-BB9B-4EE0-BBDB-A812C5B47B73}" type="presParOf" srcId="{CFE7259F-6958-4278-B532-D5FC1DF0D989}" destId="{7BD786B8-780D-4619-A5E3-357F0EDAE2E4}" srcOrd="2" destOrd="0" presId="urn:microsoft.com/office/officeart/2005/8/layout/orgChart1"/>
    <dgm:cxn modelId="{F2B0F6C6-5D11-4717-AD51-DC21E0E0FDCC}" type="presParOf" srcId="{CFE7259F-6958-4278-B532-D5FC1DF0D989}" destId="{FF449168-822C-418C-9CA1-B101D096CF90}" srcOrd="3" destOrd="0" presId="urn:microsoft.com/office/officeart/2005/8/layout/orgChart1"/>
    <dgm:cxn modelId="{7A95C7A7-F166-4435-8524-D112D1C51058}" type="presParOf" srcId="{FF449168-822C-418C-9CA1-B101D096CF90}" destId="{FDC422C0-CC05-449C-8033-C172FF181AD5}" srcOrd="0" destOrd="0" presId="urn:microsoft.com/office/officeart/2005/8/layout/orgChart1"/>
    <dgm:cxn modelId="{87F3A19B-9510-4B22-BD74-3F8E16C612A2}" type="presParOf" srcId="{FDC422C0-CC05-449C-8033-C172FF181AD5}" destId="{CF1CE0D6-2000-45B7-B412-882350AF6F25}" srcOrd="0" destOrd="0" presId="urn:microsoft.com/office/officeart/2005/8/layout/orgChart1"/>
    <dgm:cxn modelId="{CE725E7F-E97F-4769-9757-7875746F2730}" type="presParOf" srcId="{FDC422C0-CC05-449C-8033-C172FF181AD5}" destId="{E332D8F5-24D1-438A-A88D-967661A9895B}" srcOrd="1" destOrd="0" presId="urn:microsoft.com/office/officeart/2005/8/layout/orgChart1"/>
    <dgm:cxn modelId="{46CAE1E2-D097-4A2D-AEBD-7946148C8D66}" type="presParOf" srcId="{FF449168-822C-418C-9CA1-B101D096CF90}" destId="{0945C784-5EB4-4170-B227-C25054AACF2B}" srcOrd="1" destOrd="0" presId="urn:microsoft.com/office/officeart/2005/8/layout/orgChart1"/>
    <dgm:cxn modelId="{4F0F4A25-14B4-4E5E-B3BF-6AE7E5F7047F}" type="presParOf" srcId="{FF449168-822C-418C-9CA1-B101D096CF90}" destId="{795D698A-1823-4D67-A0CE-2685E9EB05B4}" srcOrd="2" destOrd="0" presId="urn:microsoft.com/office/officeart/2005/8/layout/orgChart1"/>
    <dgm:cxn modelId="{B65C7E39-C1DF-4A36-8AC5-5269D799ECD7}" type="presParOf" srcId="{CFE7259F-6958-4278-B532-D5FC1DF0D989}" destId="{A210511E-8313-4F28-990A-429088BA3B3F}" srcOrd="4" destOrd="0" presId="urn:microsoft.com/office/officeart/2005/8/layout/orgChart1"/>
    <dgm:cxn modelId="{2FD47871-0EE8-454E-9FDF-35D4E38A03A1}" type="presParOf" srcId="{CFE7259F-6958-4278-B532-D5FC1DF0D989}" destId="{662A03C9-0D7D-4233-877E-650105F68909}" srcOrd="5" destOrd="0" presId="urn:microsoft.com/office/officeart/2005/8/layout/orgChart1"/>
    <dgm:cxn modelId="{717622EB-4B37-4509-BDF8-21A32FD58F75}" type="presParOf" srcId="{662A03C9-0D7D-4233-877E-650105F68909}" destId="{3F4608E4-44E4-4C09-98F7-7A5196AC4942}" srcOrd="0" destOrd="0" presId="urn:microsoft.com/office/officeart/2005/8/layout/orgChart1"/>
    <dgm:cxn modelId="{FB118571-51EC-4685-9A78-B90201057D30}" type="presParOf" srcId="{3F4608E4-44E4-4C09-98F7-7A5196AC4942}" destId="{422A5DCC-F310-4179-AC5C-3A5AA9AB3509}" srcOrd="0" destOrd="0" presId="urn:microsoft.com/office/officeart/2005/8/layout/orgChart1"/>
    <dgm:cxn modelId="{F9F72142-DEFA-419A-9933-23F734DCCCAD}" type="presParOf" srcId="{3F4608E4-44E4-4C09-98F7-7A5196AC4942}" destId="{D3BF38C4-1821-483A-AF26-C595ECE3E4B8}" srcOrd="1" destOrd="0" presId="urn:microsoft.com/office/officeart/2005/8/layout/orgChart1"/>
    <dgm:cxn modelId="{F5D381B2-A1BB-4210-82DA-C366CD92E499}" type="presParOf" srcId="{662A03C9-0D7D-4233-877E-650105F68909}" destId="{1A67025E-7A13-4535-954B-C51FC9C3959C}" srcOrd="1" destOrd="0" presId="urn:microsoft.com/office/officeart/2005/8/layout/orgChart1"/>
    <dgm:cxn modelId="{9527FBA6-DE1F-40FE-9093-AD67C3FBC6A2}" type="presParOf" srcId="{662A03C9-0D7D-4233-877E-650105F68909}" destId="{F58C77E7-E7F0-45FB-BD57-CF2EA3EB7FD9}" srcOrd="2" destOrd="0" presId="urn:microsoft.com/office/officeart/2005/8/layout/orgChart1"/>
    <dgm:cxn modelId="{FD4029A7-75E1-4894-8B83-D92065A05607}" type="presParOf" srcId="{92667419-A898-4795-9C0E-361368D04859}" destId="{529C72D2-9829-43B0-839C-5E27E8D16E0A}" srcOrd="2" destOrd="0" presId="urn:microsoft.com/office/officeart/2005/8/layout/orgChart1"/>
    <dgm:cxn modelId="{14A1A8D1-9BC8-428E-BD6A-B8C45445FC69}" type="presParOf" srcId="{7F944FE0-D2A2-405B-BDFF-D1897631706E}" destId="{3CD38DC8-3D55-42DE-AD09-72BD953ED7FB}" srcOrd="2" destOrd="0" presId="urn:microsoft.com/office/officeart/2005/8/layout/orgChart1"/>
    <dgm:cxn modelId="{0FD5E4D4-1739-4D83-BB35-71CAFDAFB81E}" type="presParOf" srcId="{7F944FE0-D2A2-405B-BDFF-D1897631706E}" destId="{596C2A0E-FAAA-4C19-8F64-3F40373672C6}" srcOrd="3" destOrd="0" presId="urn:microsoft.com/office/officeart/2005/8/layout/orgChart1"/>
    <dgm:cxn modelId="{683610BC-2FB1-43E3-B55C-8A244A1BD861}" type="presParOf" srcId="{596C2A0E-FAAA-4C19-8F64-3F40373672C6}" destId="{E1CC195C-D0F1-48C8-A703-25242680FC8E}" srcOrd="0" destOrd="0" presId="urn:microsoft.com/office/officeart/2005/8/layout/orgChart1"/>
    <dgm:cxn modelId="{6075DF83-D28E-44F5-8430-DAC1A8842A87}" type="presParOf" srcId="{E1CC195C-D0F1-48C8-A703-25242680FC8E}" destId="{D170E32D-A43F-4CAB-A215-C289F970862B}" srcOrd="0" destOrd="0" presId="urn:microsoft.com/office/officeart/2005/8/layout/orgChart1"/>
    <dgm:cxn modelId="{78D5ED16-C0E8-4166-A7B4-9093264A1C13}" type="presParOf" srcId="{E1CC195C-D0F1-48C8-A703-25242680FC8E}" destId="{18E317F2-7CF2-4DFD-9CA0-4A1E8C4ACD68}" srcOrd="1" destOrd="0" presId="urn:microsoft.com/office/officeart/2005/8/layout/orgChart1"/>
    <dgm:cxn modelId="{4F2C3B68-2D3F-49E8-9AD0-EC7528E0CC48}" type="presParOf" srcId="{596C2A0E-FAAA-4C19-8F64-3F40373672C6}" destId="{C4D3DF99-A745-4C02-9204-B9053A10435D}" srcOrd="1" destOrd="0" presId="urn:microsoft.com/office/officeart/2005/8/layout/orgChart1"/>
    <dgm:cxn modelId="{AC359EA7-27E4-46FA-A61B-A79DB5D2B153}" type="presParOf" srcId="{C4D3DF99-A745-4C02-9204-B9053A10435D}" destId="{B935FBDA-E2AB-49CA-8CF4-754257839CD4}" srcOrd="0" destOrd="0" presId="urn:microsoft.com/office/officeart/2005/8/layout/orgChart1"/>
    <dgm:cxn modelId="{1342A516-3A83-4BBC-B42D-F5C5ADA3C237}" type="presParOf" srcId="{C4D3DF99-A745-4C02-9204-B9053A10435D}" destId="{7E32E146-A64A-4070-B7C5-30A5B73717C1}" srcOrd="1" destOrd="0" presId="urn:microsoft.com/office/officeart/2005/8/layout/orgChart1"/>
    <dgm:cxn modelId="{A9BD9FDE-1F37-47BA-9F06-11D36612FF8B}" type="presParOf" srcId="{7E32E146-A64A-4070-B7C5-30A5B73717C1}" destId="{94CCBCF2-D29F-4CE4-9F38-9A0619F3E636}" srcOrd="0" destOrd="0" presId="urn:microsoft.com/office/officeart/2005/8/layout/orgChart1"/>
    <dgm:cxn modelId="{F494062A-C7FB-49A7-ADA3-9A4E5B7B8BAE}" type="presParOf" srcId="{94CCBCF2-D29F-4CE4-9F38-9A0619F3E636}" destId="{8D28DA9C-651E-493C-AEB4-8DE7C4670A76}" srcOrd="0" destOrd="0" presId="urn:microsoft.com/office/officeart/2005/8/layout/orgChart1"/>
    <dgm:cxn modelId="{CA4EBAD4-EEAF-4E3A-8D2E-B39A38F0889B}" type="presParOf" srcId="{94CCBCF2-D29F-4CE4-9F38-9A0619F3E636}" destId="{CAC4091A-492F-459B-840C-5F8135FD499F}" srcOrd="1" destOrd="0" presId="urn:microsoft.com/office/officeart/2005/8/layout/orgChart1"/>
    <dgm:cxn modelId="{5B2F94E3-D960-4DDC-A12E-15093E190912}" type="presParOf" srcId="{7E32E146-A64A-4070-B7C5-30A5B73717C1}" destId="{3F86CAF0-921B-456C-9C30-B205CF6EDFAB}" srcOrd="1" destOrd="0" presId="urn:microsoft.com/office/officeart/2005/8/layout/orgChart1"/>
    <dgm:cxn modelId="{28E323D8-20F0-4C67-9B84-479D830BDAFD}" type="presParOf" srcId="{3F86CAF0-921B-456C-9C30-B205CF6EDFAB}" destId="{AAF5925E-A439-4734-BFA7-0209F1E034E0}" srcOrd="0" destOrd="0" presId="urn:microsoft.com/office/officeart/2005/8/layout/orgChart1"/>
    <dgm:cxn modelId="{F703F49D-E6B3-4B34-AFA9-068C6CAC520A}" type="presParOf" srcId="{3F86CAF0-921B-456C-9C30-B205CF6EDFAB}" destId="{E4ACDD6B-0637-4F25-B692-478DE4CD1E8A}" srcOrd="1" destOrd="0" presId="urn:microsoft.com/office/officeart/2005/8/layout/orgChart1"/>
    <dgm:cxn modelId="{76E3BE23-B810-4761-BCB8-4910B0CF770A}" type="presParOf" srcId="{E4ACDD6B-0637-4F25-B692-478DE4CD1E8A}" destId="{D26411F1-3269-4B53-8632-15971C6AADE7}" srcOrd="0" destOrd="0" presId="urn:microsoft.com/office/officeart/2005/8/layout/orgChart1"/>
    <dgm:cxn modelId="{F477EF00-98C3-4FB2-92E6-1493FF30501F}" type="presParOf" srcId="{D26411F1-3269-4B53-8632-15971C6AADE7}" destId="{72AC346F-2F4E-444E-8C03-BD2A3B5A48DE}" srcOrd="0" destOrd="0" presId="urn:microsoft.com/office/officeart/2005/8/layout/orgChart1"/>
    <dgm:cxn modelId="{DF4ACFAD-5598-4383-AC78-B631683D50D0}" type="presParOf" srcId="{D26411F1-3269-4B53-8632-15971C6AADE7}" destId="{61BD3AC5-6CF6-4CA9-B7DA-7A4EF7D20243}" srcOrd="1" destOrd="0" presId="urn:microsoft.com/office/officeart/2005/8/layout/orgChart1"/>
    <dgm:cxn modelId="{0B357764-C865-405A-95C1-641FB537BA16}" type="presParOf" srcId="{E4ACDD6B-0637-4F25-B692-478DE4CD1E8A}" destId="{417D4C16-6F47-45C2-BFA4-54B9F621B68C}" srcOrd="1" destOrd="0" presId="urn:microsoft.com/office/officeart/2005/8/layout/orgChart1"/>
    <dgm:cxn modelId="{31F95963-53D8-423D-86CD-3EE818DC740E}" type="presParOf" srcId="{417D4C16-6F47-45C2-BFA4-54B9F621B68C}" destId="{6E904246-481F-4578-AD91-764D29E6D564}" srcOrd="0" destOrd="0" presId="urn:microsoft.com/office/officeart/2005/8/layout/orgChart1"/>
    <dgm:cxn modelId="{E906D7A0-E608-42F1-B765-7EE29899E8FE}" type="presParOf" srcId="{417D4C16-6F47-45C2-BFA4-54B9F621B68C}" destId="{3F7226FF-427D-42A9-8B80-A751CA140B09}" srcOrd="1" destOrd="0" presId="urn:microsoft.com/office/officeart/2005/8/layout/orgChart1"/>
    <dgm:cxn modelId="{88541657-6404-42C4-8577-981CA9455324}" type="presParOf" srcId="{3F7226FF-427D-42A9-8B80-A751CA140B09}" destId="{0A246336-23C1-4668-9722-4DF692D3DE4E}" srcOrd="0" destOrd="0" presId="urn:microsoft.com/office/officeart/2005/8/layout/orgChart1"/>
    <dgm:cxn modelId="{99AD6A02-D375-4A03-B02D-75ACE5D19FBC}" type="presParOf" srcId="{0A246336-23C1-4668-9722-4DF692D3DE4E}" destId="{3C105CD6-BA5F-4296-9ADF-C21FEB294665}" srcOrd="0" destOrd="0" presId="urn:microsoft.com/office/officeart/2005/8/layout/orgChart1"/>
    <dgm:cxn modelId="{45DE90E5-1ADB-4130-8837-E20724DAE165}" type="presParOf" srcId="{0A246336-23C1-4668-9722-4DF692D3DE4E}" destId="{385FC982-988E-4302-98BB-D7460D5505EC}" srcOrd="1" destOrd="0" presId="urn:microsoft.com/office/officeart/2005/8/layout/orgChart1"/>
    <dgm:cxn modelId="{6935D97D-4F7F-4B43-B08E-96674ABBDFED}" type="presParOf" srcId="{3F7226FF-427D-42A9-8B80-A751CA140B09}" destId="{FDB3ABF0-E8E8-4CD0-853A-E48F1654371B}" srcOrd="1" destOrd="0" presId="urn:microsoft.com/office/officeart/2005/8/layout/orgChart1"/>
    <dgm:cxn modelId="{AB7B6F7E-7C05-4FA5-9743-9665AF170A92}" type="presParOf" srcId="{3F7226FF-427D-42A9-8B80-A751CA140B09}" destId="{ECAD813E-F69E-4493-8464-0EFC6AD53AB3}" srcOrd="2" destOrd="0" presId="urn:microsoft.com/office/officeart/2005/8/layout/orgChart1"/>
    <dgm:cxn modelId="{1BE427B8-618D-4558-9E26-A9B0762E7960}" type="presParOf" srcId="{417D4C16-6F47-45C2-BFA4-54B9F621B68C}" destId="{2BE8EFB2-4965-4609-B1C2-1F507D9025F0}" srcOrd="2" destOrd="0" presId="urn:microsoft.com/office/officeart/2005/8/layout/orgChart1"/>
    <dgm:cxn modelId="{CC83812A-35CA-4D76-AD36-B93EA2183503}" type="presParOf" srcId="{417D4C16-6F47-45C2-BFA4-54B9F621B68C}" destId="{F775338A-84A5-49A8-AF6A-9BA8BA981152}" srcOrd="3" destOrd="0" presId="urn:microsoft.com/office/officeart/2005/8/layout/orgChart1"/>
    <dgm:cxn modelId="{0BD1BE27-B5F2-43AB-B7BD-BE6CCD02990E}" type="presParOf" srcId="{F775338A-84A5-49A8-AF6A-9BA8BA981152}" destId="{A9AA2BB9-9808-4E50-B65D-A1D192D8B270}" srcOrd="0" destOrd="0" presId="urn:microsoft.com/office/officeart/2005/8/layout/orgChart1"/>
    <dgm:cxn modelId="{1F39AC2A-1752-4566-8E35-A46C5D2AED30}" type="presParOf" srcId="{A9AA2BB9-9808-4E50-B65D-A1D192D8B270}" destId="{539C43EC-88FB-4101-BFC8-2FBEBDCB1CFF}" srcOrd="0" destOrd="0" presId="urn:microsoft.com/office/officeart/2005/8/layout/orgChart1"/>
    <dgm:cxn modelId="{759AB5B8-F524-47CC-A7DA-00C3532AB2E3}" type="presParOf" srcId="{A9AA2BB9-9808-4E50-B65D-A1D192D8B270}" destId="{37EBA9EA-1D7F-4485-92CD-286075E5D657}" srcOrd="1" destOrd="0" presId="urn:microsoft.com/office/officeart/2005/8/layout/orgChart1"/>
    <dgm:cxn modelId="{55236C69-F81F-4269-AA33-CFE591093C6E}" type="presParOf" srcId="{F775338A-84A5-49A8-AF6A-9BA8BA981152}" destId="{57E2BC50-0927-4908-AF16-2DC1A7ABAA91}" srcOrd="1" destOrd="0" presId="urn:microsoft.com/office/officeart/2005/8/layout/orgChart1"/>
    <dgm:cxn modelId="{E8D10900-62A2-4928-B07B-2249DBE6FA1E}" type="presParOf" srcId="{F775338A-84A5-49A8-AF6A-9BA8BA981152}" destId="{7122834D-968C-4F51-82BF-8F187CEE81CA}" srcOrd="2" destOrd="0" presId="urn:microsoft.com/office/officeart/2005/8/layout/orgChart1"/>
    <dgm:cxn modelId="{8E6E4E64-3573-4D30-B74B-3B6894A004C9}" type="presParOf" srcId="{417D4C16-6F47-45C2-BFA4-54B9F621B68C}" destId="{B03BF5AB-02EB-4D85-9282-46894415A7C4}" srcOrd="4" destOrd="0" presId="urn:microsoft.com/office/officeart/2005/8/layout/orgChart1"/>
    <dgm:cxn modelId="{531C8F46-FDD4-4B78-B0C9-66E182A3449D}" type="presParOf" srcId="{417D4C16-6F47-45C2-BFA4-54B9F621B68C}" destId="{4EA350DD-0CE0-4931-8C0F-DBE036A1099D}" srcOrd="5" destOrd="0" presId="urn:microsoft.com/office/officeart/2005/8/layout/orgChart1"/>
    <dgm:cxn modelId="{2471F6DB-F53B-4FEB-B6FA-00FD522AE346}" type="presParOf" srcId="{4EA350DD-0CE0-4931-8C0F-DBE036A1099D}" destId="{CD2F0EF6-63DD-4908-8B36-685448BC48E8}" srcOrd="0" destOrd="0" presId="urn:microsoft.com/office/officeart/2005/8/layout/orgChart1"/>
    <dgm:cxn modelId="{E476D255-0326-4CC1-A6CB-9A501002E4F7}" type="presParOf" srcId="{CD2F0EF6-63DD-4908-8B36-685448BC48E8}" destId="{042C9D99-30E8-4921-9EB9-EBE3CC59CEFA}" srcOrd="0" destOrd="0" presId="urn:microsoft.com/office/officeart/2005/8/layout/orgChart1"/>
    <dgm:cxn modelId="{2E05D8FB-BDF4-43F1-AE77-EB0ECF966A1A}" type="presParOf" srcId="{CD2F0EF6-63DD-4908-8B36-685448BC48E8}" destId="{3EDBFA9C-F817-479F-9192-D74217624230}" srcOrd="1" destOrd="0" presId="urn:microsoft.com/office/officeart/2005/8/layout/orgChart1"/>
    <dgm:cxn modelId="{8C2A5AD2-9970-4489-B790-D0F766CFAD7E}" type="presParOf" srcId="{4EA350DD-0CE0-4931-8C0F-DBE036A1099D}" destId="{B4F1833F-49EE-4B21-B613-A1E34BCE673C}" srcOrd="1" destOrd="0" presId="urn:microsoft.com/office/officeart/2005/8/layout/orgChart1"/>
    <dgm:cxn modelId="{7A95F00B-EFA0-474E-8E75-E5BEFD19B5EB}" type="presParOf" srcId="{4EA350DD-0CE0-4931-8C0F-DBE036A1099D}" destId="{7B2A69D4-674A-4532-8C2D-F390A2FA9622}" srcOrd="2" destOrd="0" presId="urn:microsoft.com/office/officeart/2005/8/layout/orgChart1"/>
    <dgm:cxn modelId="{9846C9A2-C25B-4A7E-8766-DD4A212CB05C}" type="presParOf" srcId="{417D4C16-6F47-45C2-BFA4-54B9F621B68C}" destId="{B894DCF4-CFDB-4655-8C23-F6D06D7FB345}" srcOrd="6" destOrd="0" presId="urn:microsoft.com/office/officeart/2005/8/layout/orgChart1"/>
    <dgm:cxn modelId="{12F2EF62-5D93-4BA3-BB32-28747AEE9BDE}" type="presParOf" srcId="{417D4C16-6F47-45C2-BFA4-54B9F621B68C}" destId="{BA7890AD-C28B-4184-A8D6-6EDBD113CB8A}" srcOrd="7" destOrd="0" presId="urn:microsoft.com/office/officeart/2005/8/layout/orgChart1"/>
    <dgm:cxn modelId="{808292CB-6152-49D4-9712-46802CAE5B92}" type="presParOf" srcId="{BA7890AD-C28B-4184-A8D6-6EDBD113CB8A}" destId="{C7694567-091A-4EF9-A3C2-2AF6B9A0305A}" srcOrd="0" destOrd="0" presId="urn:microsoft.com/office/officeart/2005/8/layout/orgChart1"/>
    <dgm:cxn modelId="{79081135-4113-4577-85D8-0A5F635EEC26}" type="presParOf" srcId="{C7694567-091A-4EF9-A3C2-2AF6B9A0305A}" destId="{D7E2BE4B-D731-4C2D-BA0A-37C902784000}" srcOrd="0" destOrd="0" presId="urn:microsoft.com/office/officeart/2005/8/layout/orgChart1"/>
    <dgm:cxn modelId="{8B96DA65-83F8-4DD4-8921-F61BA761C4D7}" type="presParOf" srcId="{C7694567-091A-4EF9-A3C2-2AF6B9A0305A}" destId="{9DEDF8A8-C04F-4AC1-8A19-9C5D980141EF}" srcOrd="1" destOrd="0" presId="urn:microsoft.com/office/officeart/2005/8/layout/orgChart1"/>
    <dgm:cxn modelId="{252289A3-3DFB-4926-B0B7-D6CDA7EC30AF}" type="presParOf" srcId="{BA7890AD-C28B-4184-A8D6-6EDBD113CB8A}" destId="{1DE648D8-AE03-4D1A-A2BC-9B57B681966C}" srcOrd="1" destOrd="0" presId="urn:microsoft.com/office/officeart/2005/8/layout/orgChart1"/>
    <dgm:cxn modelId="{4311F230-6793-4D7A-926F-118DCEF8599B}" type="presParOf" srcId="{BA7890AD-C28B-4184-A8D6-6EDBD113CB8A}" destId="{100DADC4-F030-4864-A9B4-A0917383493F}" srcOrd="2" destOrd="0" presId="urn:microsoft.com/office/officeart/2005/8/layout/orgChart1"/>
    <dgm:cxn modelId="{0F6E4012-374C-4450-8F48-BABF154EDB41}" type="presParOf" srcId="{417D4C16-6F47-45C2-BFA4-54B9F621B68C}" destId="{8361F233-B12E-43F6-BC39-A98D94AE39A7}" srcOrd="8" destOrd="0" presId="urn:microsoft.com/office/officeart/2005/8/layout/orgChart1"/>
    <dgm:cxn modelId="{6EE47D9D-25A0-45B3-86B1-28C264EC0BD8}" type="presParOf" srcId="{417D4C16-6F47-45C2-BFA4-54B9F621B68C}" destId="{DE9A41E4-3923-40A4-9CC8-1B1A5C09A77A}" srcOrd="9" destOrd="0" presId="urn:microsoft.com/office/officeart/2005/8/layout/orgChart1"/>
    <dgm:cxn modelId="{6687AA9E-54AC-4331-89BD-3861E77B7680}" type="presParOf" srcId="{DE9A41E4-3923-40A4-9CC8-1B1A5C09A77A}" destId="{B7719617-0E46-40B1-ADB6-32270E389581}" srcOrd="0" destOrd="0" presId="urn:microsoft.com/office/officeart/2005/8/layout/orgChart1"/>
    <dgm:cxn modelId="{6B044D66-620D-4CC8-A935-B6F95C60F6A2}" type="presParOf" srcId="{B7719617-0E46-40B1-ADB6-32270E389581}" destId="{85AD923B-4E2C-411D-9E05-6D278E6E3C31}" srcOrd="0" destOrd="0" presId="urn:microsoft.com/office/officeart/2005/8/layout/orgChart1"/>
    <dgm:cxn modelId="{0BEE9549-3807-486E-8264-35A71754E3D3}" type="presParOf" srcId="{B7719617-0E46-40B1-ADB6-32270E389581}" destId="{C9DB3AA9-5EBE-4CDD-923A-16B2DED554F2}" srcOrd="1" destOrd="0" presId="urn:microsoft.com/office/officeart/2005/8/layout/orgChart1"/>
    <dgm:cxn modelId="{9D1AEDD5-0135-464E-A6C1-6CC8DADD07DD}" type="presParOf" srcId="{DE9A41E4-3923-40A4-9CC8-1B1A5C09A77A}" destId="{5B4607DF-B053-49BD-89A1-C23BB12F949D}" srcOrd="1" destOrd="0" presId="urn:microsoft.com/office/officeart/2005/8/layout/orgChart1"/>
    <dgm:cxn modelId="{0AB0E9AF-5101-415D-8459-077E559A802F}" type="presParOf" srcId="{DE9A41E4-3923-40A4-9CC8-1B1A5C09A77A}" destId="{2D502DF0-43F9-4645-90C9-9E29C2A8A8BF}" srcOrd="2" destOrd="0" presId="urn:microsoft.com/office/officeart/2005/8/layout/orgChart1"/>
    <dgm:cxn modelId="{0A6D625F-1DF8-4AAF-AFA9-D987951CB9F0}" type="presParOf" srcId="{E4ACDD6B-0637-4F25-B692-478DE4CD1E8A}" destId="{A304A998-311C-42E3-BC67-14561F45BC79}" srcOrd="2" destOrd="0" presId="urn:microsoft.com/office/officeart/2005/8/layout/orgChart1"/>
    <dgm:cxn modelId="{10F551E2-EEE3-4C8F-9D63-2AFE683526C4}" type="presParOf" srcId="{7E32E146-A64A-4070-B7C5-30A5B73717C1}" destId="{45AC5175-69A5-4135-B79C-12AD4A58E1A7}" srcOrd="2" destOrd="0" presId="urn:microsoft.com/office/officeart/2005/8/layout/orgChart1"/>
    <dgm:cxn modelId="{CC63E2D5-C1A1-4079-AED7-824C1802B9E6}" type="presParOf" srcId="{596C2A0E-FAAA-4C19-8F64-3F40373672C6}" destId="{8F47595E-1F20-4F5E-BE70-5CDDFE438157}" srcOrd="2" destOrd="0" presId="urn:microsoft.com/office/officeart/2005/8/layout/orgChart1"/>
    <dgm:cxn modelId="{E0590D61-C16B-4BC8-AE20-E51B9121193B}" type="presParOf" srcId="{7F944FE0-D2A2-405B-BDFF-D1897631706E}" destId="{146AE877-ED15-459B-B13B-AF077FBB1040}" srcOrd="4" destOrd="0" presId="urn:microsoft.com/office/officeart/2005/8/layout/orgChart1"/>
    <dgm:cxn modelId="{6C34EBB2-78DA-4600-9AB7-3AC84F832DFB}" type="presParOf" srcId="{7F944FE0-D2A2-405B-BDFF-D1897631706E}" destId="{D8BE7065-D2EC-4787-8FFC-B61F79EEC39D}" srcOrd="5" destOrd="0" presId="urn:microsoft.com/office/officeart/2005/8/layout/orgChart1"/>
    <dgm:cxn modelId="{CF6C9393-DD55-4A46-A0D3-226BC63F8D75}" type="presParOf" srcId="{D8BE7065-D2EC-4787-8FFC-B61F79EEC39D}" destId="{71363FA2-6923-417F-B55E-201974467DF6}" srcOrd="0" destOrd="0" presId="urn:microsoft.com/office/officeart/2005/8/layout/orgChart1"/>
    <dgm:cxn modelId="{A147F552-7B0C-4D28-86EF-0886CC8E5CC9}" type="presParOf" srcId="{71363FA2-6923-417F-B55E-201974467DF6}" destId="{5368EF9E-E26F-497A-B704-8C2CE5D835FD}" srcOrd="0" destOrd="0" presId="urn:microsoft.com/office/officeart/2005/8/layout/orgChart1"/>
    <dgm:cxn modelId="{2E2F2C95-E1AA-4702-9CC7-2C8AF2FD0D18}" type="presParOf" srcId="{71363FA2-6923-417F-B55E-201974467DF6}" destId="{05AACB28-368C-4D12-A4D8-69764BDEC4D2}" srcOrd="1" destOrd="0" presId="urn:microsoft.com/office/officeart/2005/8/layout/orgChart1"/>
    <dgm:cxn modelId="{9D4C8DE5-E41A-490F-AE8C-ECEA8661679B}" type="presParOf" srcId="{D8BE7065-D2EC-4787-8FFC-B61F79EEC39D}" destId="{6EB25563-D21F-483B-A064-03B79922792B}" srcOrd="1" destOrd="0" presId="urn:microsoft.com/office/officeart/2005/8/layout/orgChart1"/>
    <dgm:cxn modelId="{FCACB6CF-0856-41F2-99D0-60169CA18864}" type="presParOf" srcId="{6EB25563-D21F-483B-A064-03B79922792B}" destId="{1BDCF5C3-4938-4F7B-B883-DFE0EA2513F2}" srcOrd="0" destOrd="0" presId="urn:microsoft.com/office/officeart/2005/8/layout/orgChart1"/>
    <dgm:cxn modelId="{EBA0C046-D5FE-498E-9E51-36248CE2BC2B}" type="presParOf" srcId="{6EB25563-D21F-483B-A064-03B79922792B}" destId="{D51C4435-04F6-4D3A-8AC9-28DE1618776D}" srcOrd="1" destOrd="0" presId="urn:microsoft.com/office/officeart/2005/8/layout/orgChart1"/>
    <dgm:cxn modelId="{F60FD299-4B5A-4A70-9EA8-DAFC0CB1B63E}" type="presParOf" srcId="{D51C4435-04F6-4D3A-8AC9-28DE1618776D}" destId="{C8C3FF62-3F59-4D84-9B88-D6D2C6D0965C}" srcOrd="0" destOrd="0" presId="urn:microsoft.com/office/officeart/2005/8/layout/orgChart1"/>
    <dgm:cxn modelId="{6F5CF18C-F0B1-4F97-B5D1-2FC53309FE35}" type="presParOf" srcId="{C8C3FF62-3F59-4D84-9B88-D6D2C6D0965C}" destId="{3CB81659-FE3C-423B-9CBD-B42FC5FE3EA0}" srcOrd="0" destOrd="0" presId="urn:microsoft.com/office/officeart/2005/8/layout/orgChart1"/>
    <dgm:cxn modelId="{F4704150-7AC5-4E2A-9A46-AFBC93622FD8}" type="presParOf" srcId="{C8C3FF62-3F59-4D84-9B88-D6D2C6D0965C}" destId="{77CF87DA-CCF2-4C68-A6A1-315D38F06E97}" srcOrd="1" destOrd="0" presId="urn:microsoft.com/office/officeart/2005/8/layout/orgChart1"/>
    <dgm:cxn modelId="{9174DE7A-C1FF-464B-85FA-EE303A091CC3}" type="presParOf" srcId="{D51C4435-04F6-4D3A-8AC9-28DE1618776D}" destId="{9A131EBF-4F2C-4F30-929D-6EE9E0F9BCAA}" srcOrd="1" destOrd="0" presId="urn:microsoft.com/office/officeart/2005/8/layout/orgChart1"/>
    <dgm:cxn modelId="{580FA096-7203-4CAF-8EE8-301CDB3AF602}" type="presParOf" srcId="{9A131EBF-4F2C-4F30-929D-6EE9E0F9BCAA}" destId="{551EDF52-9700-4415-9C5E-2D5BBD97710A}" srcOrd="0" destOrd="0" presId="urn:microsoft.com/office/officeart/2005/8/layout/orgChart1"/>
    <dgm:cxn modelId="{B2A085EB-1C68-4501-8C2E-5F92D921FE43}" type="presParOf" srcId="{9A131EBF-4F2C-4F30-929D-6EE9E0F9BCAA}" destId="{DD393105-A334-4EB7-8239-C3EC22ABC35C}" srcOrd="1" destOrd="0" presId="urn:microsoft.com/office/officeart/2005/8/layout/orgChart1"/>
    <dgm:cxn modelId="{0D30D445-4485-445D-A748-628D7F0821CC}" type="presParOf" srcId="{DD393105-A334-4EB7-8239-C3EC22ABC35C}" destId="{34E0B7B8-A9FE-4637-BA33-0D34A4985CFE}" srcOrd="0" destOrd="0" presId="urn:microsoft.com/office/officeart/2005/8/layout/orgChart1"/>
    <dgm:cxn modelId="{8DB5DC01-5111-498A-B4CA-3F9AD712CA34}" type="presParOf" srcId="{34E0B7B8-A9FE-4637-BA33-0D34A4985CFE}" destId="{07D3882F-C235-4ADF-85FA-E879C777A8BD}" srcOrd="0" destOrd="0" presId="urn:microsoft.com/office/officeart/2005/8/layout/orgChart1"/>
    <dgm:cxn modelId="{892E1A75-F939-4AD4-A7DD-BCDFF9159FAE}" type="presParOf" srcId="{34E0B7B8-A9FE-4637-BA33-0D34A4985CFE}" destId="{4AFAFC3D-D935-4174-82BF-8097E9CC3978}" srcOrd="1" destOrd="0" presId="urn:microsoft.com/office/officeart/2005/8/layout/orgChart1"/>
    <dgm:cxn modelId="{E2BDB891-9117-46FF-AFCC-EADEC6437123}" type="presParOf" srcId="{DD393105-A334-4EB7-8239-C3EC22ABC35C}" destId="{32762620-2305-4932-8569-3643D2BD0F19}" srcOrd="1" destOrd="0" presId="urn:microsoft.com/office/officeart/2005/8/layout/orgChart1"/>
    <dgm:cxn modelId="{E4676627-CB49-4E5A-B676-16307C7DDC16}" type="presParOf" srcId="{DD393105-A334-4EB7-8239-C3EC22ABC35C}" destId="{8BC1F9E8-51D5-4381-8499-A60AB874E0FD}" srcOrd="2" destOrd="0" presId="urn:microsoft.com/office/officeart/2005/8/layout/orgChart1"/>
    <dgm:cxn modelId="{084A1B8E-FA5E-486D-89CC-BEA1C0058534}" type="presParOf" srcId="{9A131EBF-4F2C-4F30-929D-6EE9E0F9BCAA}" destId="{FB2DB3A0-B135-43F4-88C1-E9985DD92C2D}" srcOrd="2" destOrd="0" presId="urn:microsoft.com/office/officeart/2005/8/layout/orgChart1"/>
    <dgm:cxn modelId="{E122C6E9-AED6-43BE-A753-5550CF2F18E5}" type="presParOf" srcId="{9A131EBF-4F2C-4F30-929D-6EE9E0F9BCAA}" destId="{B2D79C74-D841-47CF-928E-3D8F67BB6CF4}" srcOrd="3" destOrd="0" presId="urn:microsoft.com/office/officeart/2005/8/layout/orgChart1"/>
    <dgm:cxn modelId="{4194CA10-F659-491A-B7D7-0C119BFC80F6}" type="presParOf" srcId="{B2D79C74-D841-47CF-928E-3D8F67BB6CF4}" destId="{D530D8F6-4633-4E2B-9D7F-07FE13465AD0}" srcOrd="0" destOrd="0" presId="urn:microsoft.com/office/officeart/2005/8/layout/orgChart1"/>
    <dgm:cxn modelId="{4C580550-566D-4DE2-B623-B780786BB18E}" type="presParOf" srcId="{D530D8F6-4633-4E2B-9D7F-07FE13465AD0}" destId="{D7DDDDF0-F44F-4B11-B08B-89295DEA0D9B}" srcOrd="0" destOrd="0" presId="urn:microsoft.com/office/officeart/2005/8/layout/orgChart1"/>
    <dgm:cxn modelId="{063E24EA-AF20-4561-B6F3-FEEBAEBA2691}" type="presParOf" srcId="{D530D8F6-4633-4E2B-9D7F-07FE13465AD0}" destId="{3957C82B-EF44-4844-A580-BC3F07AD1AAA}" srcOrd="1" destOrd="0" presId="urn:microsoft.com/office/officeart/2005/8/layout/orgChart1"/>
    <dgm:cxn modelId="{2226CB48-DF09-43BC-86D0-466D54BA3642}" type="presParOf" srcId="{B2D79C74-D841-47CF-928E-3D8F67BB6CF4}" destId="{0754D7EF-BC43-404C-B8A6-6E2B1C6A9AE2}" srcOrd="1" destOrd="0" presId="urn:microsoft.com/office/officeart/2005/8/layout/orgChart1"/>
    <dgm:cxn modelId="{0009A926-5646-4AC9-8DFE-C29E2BA1AD25}" type="presParOf" srcId="{B2D79C74-D841-47CF-928E-3D8F67BB6CF4}" destId="{72B790DC-CD82-4BA6-8E1B-4F531F1D61F0}" srcOrd="2" destOrd="0" presId="urn:microsoft.com/office/officeart/2005/8/layout/orgChart1"/>
    <dgm:cxn modelId="{5AD6A90C-66A5-4E43-BCA1-7225D1C7F23F}" type="presParOf" srcId="{D51C4435-04F6-4D3A-8AC9-28DE1618776D}" destId="{A5AD6A0B-6137-45FE-AEC3-274EDB22E7BE}" srcOrd="2" destOrd="0" presId="urn:microsoft.com/office/officeart/2005/8/layout/orgChart1"/>
    <dgm:cxn modelId="{B27CEFD5-48D9-4E76-B0C8-4588EF49827A}" type="presParOf" srcId="{6EB25563-D21F-483B-A064-03B79922792B}" destId="{4E82E1CF-9093-4966-8BDC-BA30B6523B53}" srcOrd="2" destOrd="0" presId="urn:microsoft.com/office/officeart/2005/8/layout/orgChart1"/>
    <dgm:cxn modelId="{E63D8D65-FDC8-4A52-A870-1E61884EA78B}" type="presParOf" srcId="{6EB25563-D21F-483B-A064-03B79922792B}" destId="{6D4684D6-3049-41BE-9C43-0701009F3CD0}" srcOrd="3" destOrd="0" presId="urn:microsoft.com/office/officeart/2005/8/layout/orgChart1"/>
    <dgm:cxn modelId="{E736C0D1-3E6B-47A7-8138-6964B27A266D}" type="presParOf" srcId="{6D4684D6-3049-41BE-9C43-0701009F3CD0}" destId="{D575E6F6-8868-49B4-8B9A-094F6C77B41D}" srcOrd="0" destOrd="0" presId="urn:microsoft.com/office/officeart/2005/8/layout/orgChart1"/>
    <dgm:cxn modelId="{8469569C-D9E4-46F8-A564-8FBB74068B7B}" type="presParOf" srcId="{D575E6F6-8868-49B4-8B9A-094F6C77B41D}" destId="{12FDCBF9-3BED-482D-906E-5A09DB8EAF1F}" srcOrd="0" destOrd="0" presId="urn:microsoft.com/office/officeart/2005/8/layout/orgChart1"/>
    <dgm:cxn modelId="{F721646F-B7FE-4E1D-98A4-8196C3C0EDE3}" type="presParOf" srcId="{D575E6F6-8868-49B4-8B9A-094F6C77B41D}" destId="{FC89D3C7-0538-47F7-AF35-0B577D30F034}" srcOrd="1" destOrd="0" presId="urn:microsoft.com/office/officeart/2005/8/layout/orgChart1"/>
    <dgm:cxn modelId="{EA726D1E-4AAD-40A8-AAEC-B3787D57EF2D}" type="presParOf" srcId="{6D4684D6-3049-41BE-9C43-0701009F3CD0}" destId="{40C287F3-39F2-4A58-9655-CD0EF0D06F7B}" srcOrd="1" destOrd="0" presId="urn:microsoft.com/office/officeart/2005/8/layout/orgChart1"/>
    <dgm:cxn modelId="{8AEEE21E-F636-47D2-803A-54E35579FED0}" type="presParOf" srcId="{40C287F3-39F2-4A58-9655-CD0EF0D06F7B}" destId="{169005B3-517D-446B-8623-5C28558CA7A7}" srcOrd="0" destOrd="0" presId="urn:microsoft.com/office/officeart/2005/8/layout/orgChart1"/>
    <dgm:cxn modelId="{E1D788C8-A2A4-4D94-A2E3-D28D8D826605}" type="presParOf" srcId="{40C287F3-39F2-4A58-9655-CD0EF0D06F7B}" destId="{FA2189D4-0609-4BBD-B1A4-F50349B76580}" srcOrd="1" destOrd="0" presId="urn:microsoft.com/office/officeart/2005/8/layout/orgChart1"/>
    <dgm:cxn modelId="{4647F263-3DF1-4BAF-96E8-4C7C2DC836CF}" type="presParOf" srcId="{FA2189D4-0609-4BBD-B1A4-F50349B76580}" destId="{95C8BA52-0A25-4B1B-9C1C-6FAD6F87853F}" srcOrd="0" destOrd="0" presId="urn:microsoft.com/office/officeart/2005/8/layout/orgChart1"/>
    <dgm:cxn modelId="{C4484BBA-4E16-4FF6-BF53-529446D1268B}" type="presParOf" srcId="{95C8BA52-0A25-4B1B-9C1C-6FAD6F87853F}" destId="{1E535ECD-9FA0-4E48-A66D-29FFB2AB3B70}" srcOrd="0" destOrd="0" presId="urn:microsoft.com/office/officeart/2005/8/layout/orgChart1"/>
    <dgm:cxn modelId="{0581A7FE-E67E-4B32-83A3-FC43E3337B6E}" type="presParOf" srcId="{95C8BA52-0A25-4B1B-9C1C-6FAD6F87853F}" destId="{A2F7DB0A-CD49-4EDD-B25D-FF7E00E87D85}" srcOrd="1" destOrd="0" presId="urn:microsoft.com/office/officeart/2005/8/layout/orgChart1"/>
    <dgm:cxn modelId="{79424FE9-2496-429E-A365-F857AF1D2133}" type="presParOf" srcId="{FA2189D4-0609-4BBD-B1A4-F50349B76580}" destId="{55C12E5E-D71A-41AF-B0EE-8DEB10EABF6C}" srcOrd="1" destOrd="0" presId="urn:microsoft.com/office/officeart/2005/8/layout/orgChart1"/>
    <dgm:cxn modelId="{717A5A1A-ADF9-42E9-903B-506C096F782B}" type="presParOf" srcId="{FA2189D4-0609-4BBD-B1A4-F50349B76580}" destId="{E2A7F598-2A90-4FBC-9CCC-46032457887C}" srcOrd="2" destOrd="0" presId="urn:microsoft.com/office/officeart/2005/8/layout/orgChart1"/>
    <dgm:cxn modelId="{1A1407C5-B4BF-4306-9B8A-7534E95EA87F}" type="presParOf" srcId="{40C287F3-39F2-4A58-9655-CD0EF0D06F7B}" destId="{B1F44040-471C-47E1-AA4C-3975425FBF91}" srcOrd="2" destOrd="0" presId="urn:microsoft.com/office/officeart/2005/8/layout/orgChart1"/>
    <dgm:cxn modelId="{20B6C382-20CA-4C58-A86A-728FEB9C47DA}" type="presParOf" srcId="{40C287F3-39F2-4A58-9655-CD0EF0D06F7B}" destId="{C2D84DC7-5EF4-4BC8-9576-DED11C3A7DFD}" srcOrd="3" destOrd="0" presId="urn:microsoft.com/office/officeart/2005/8/layout/orgChart1"/>
    <dgm:cxn modelId="{39F572E4-9000-4534-A229-2B714C3E9EFC}" type="presParOf" srcId="{C2D84DC7-5EF4-4BC8-9576-DED11C3A7DFD}" destId="{A5EFAD50-F422-4DD0-B7DB-428FBE8FC6A2}" srcOrd="0" destOrd="0" presId="urn:microsoft.com/office/officeart/2005/8/layout/orgChart1"/>
    <dgm:cxn modelId="{E7A095AD-2959-4962-96F8-C660E9A7F81F}" type="presParOf" srcId="{A5EFAD50-F422-4DD0-B7DB-428FBE8FC6A2}" destId="{0A7F2A46-750F-45A2-923B-D1292802EFDC}" srcOrd="0" destOrd="0" presId="urn:microsoft.com/office/officeart/2005/8/layout/orgChart1"/>
    <dgm:cxn modelId="{9775B978-B36E-421D-95AB-F8F0E8F69F4A}" type="presParOf" srcId="{A5EFAD50-F422-4DD0-B7DB-428FBE8FC6A2}" destId="{5517D03E-AE9E-4827-A3FB-E1CF8BC3E098}" srcOrd="1" destOrd="0" presId="urn:microsoft.com/office/officeart/2005/8/layout/orgChart1"/>
    <dgm:cxn modelId="{A24F6127-CF53-4303-9B22-95D376094846}" type="presParOf" srcId="{C2D84DC7-5EF4-4BC8-9576-DED11C3A7DFD}" destId="{C84665DD-42F1-4826-AAB6-D8630126BC8B}" srcOrd="1" destOrd="0" presId="urn:microsoft.com/office/officeart/2005/8/layout/orgChart1"/>
    <dgm:cxn modelId="{41DB4AB5-628B-4B7C-93D1-EEE9DABC72C4}" type="presParOf" srcId="{C2D84DC7-5EF4-4BC8-9576-DED11C3A7DFD}" destId="{D8899574-0656-4F1B-8027-B715745A0824}" srcOrd="2" destOrd="0" presId="urn:microsoft.com/office/officeart/2005/8/layout/orgChart1"/>
    <dgm:cxn modelId="{858439DE-E424-406F-A088-A3EB623F3651}" type="presParOf" srcId="{6D4684D6-3049-41BE-9C43-0701009F3CD0}" destId="{4FF2B127-3DD1-49B2-A994-6E2D85102CCF}" srcOrd="2" destOrd="0" presId="urn:microsoft.com/office/officeart/2005/8/layout/orgChart1"/>
    <dgm:cxn modelId="{A6959655-966E-4695-8D8F-D83972F757AF}" type="presParOf" srcId="{D8BE7065-D2EC-4787-8FFC-B61F79EEC39D}" destId="{BC2296E3-678E-497E-9639-ED3DB6D9EADC}" srcOrd="2" destOrd="0" presId="urn:microsoft.com/office/officeart/2005/8/layout/orgChart1"/>
    <dgm:cxn modelId="{505C5B68-BD7B-4E09-ABD9-F8E8530278DA}" type="presParOf" srcId="{7F944FE0-D2A2-405B-BDFF-D1897631706E}" destId="{86920179-6629-4A58-BB26-F9023C6AB676}" srcOrd="6" destOrd="0" presId="urn:microsoft.com/office/officeart/2005/8/layout/orgChart1"/>
    <dgm:cxn modelId="{76D42695-FC79-481C-BEE6-513A9150AC44}" type="presParOf" srcId="{7F944FE0-D2A2-405B-BDFF-D1897631706E}" destId="{385AF64B-4878-49AF-BB34-3F012067394B}" srcOrd="7" destOrd="0" presId="urn:microsoft.com/office/officeart/2005/8/layout/orgChart1"/>
    <dgm:cxn modelId="{F8E0AF27-2ADC-400B-A6E0-63A1B7413E0E}" type="presParOf" srcId="{385AF64B-4878-49AF-BB34-3F012067394B}" destId="{068FD7B9-8011-48D2-A182-EBFC5AA118E2}" srcOrd="0" destOrd="0" presId="urn:microsoft.com/office/officeart/2005/8/layout/orgChart1"/>
    <dgm:cxn modelId="{3505760D-DC39-4EC7-BFCB-6C6333C6D690}" type="presParOf" srcId="{068FD7B9-8011-48D2-A182-EBFC5AA118E2}" destId="{34D49AA9-33AD-4664-ADD5-58DB46EB9889}" srcOrd="0" destOrd="0" presId="urn:microsoft.com/office/officeart/2005/8/layout/orgChart1"/>
    <dgm:cxn modelId="{4AF15307-BB03-4F37-BBCE-AAEA290489CF}" type="presParOf" srcId="{068FD7B9-8011-48D2-A182-EBFC5AA118E2}" destId="{FA21B6A8-6AD6-40C5-B832-097165E0AE14}" srcOrd="1" destOrd="0" presId="urn:microsoft.com/office/officeart/2005/8/layout/orgChart1"/>
    <dgm:cxn modelId="{80CB2798-DD92-4D81-A7D6-C503D2718DFB}" type="presParOf" srcId="{385AF64B-4878-49AF-BB34-3F012067394B}" destId="{7A9C32C9-16BF-4D3E-BDD1-44D79FD1AB24}" srcOrd="1" destOrd="0" presId="urn:microsoft.com/office/officeart/2005/8/layout/orgChart1"/>
    <dgm:cxn modelId="{AFA2F512-2A95-4EDC-80FC-1C80870C7BCE}" type="presParOf" srcId="{7A9C32C9-16BF-4D3E-BDD1-44D79FD1AB24}" destId="{6AC18233-7434-428C-A2CE-9E3AFE243EA4}" srcOrd="0" destOrd="0" presId="urn:microsoft.com/office/officeart/2005/8/layout/orgChart1"/>
    <dgm:cxn modelId="{FDB9DF51-37BF-48F4-B20C-733FD23A4CFD}" type="presParOf" srcId="{7A9C32C9-16BF-4D3E-BDD1-44D79FD1AB24}" destId="{EB24A0CA-CF3C-48F9-925F-67D055FC3E19}" srcOrd="1" destOrd="0" presId="urn:microsoft.com/office/officeart/2005/8/layout/orgChart1"/>
    <dgm:cxn modelId="{4530D514-35A1-46D9-AAE1-A7CFB808FC17}" type="presParOf" srcId="{EB24A0CA-CF3C-48F9-925F-67D055FC3E19}" destId="{4D6B7E68-7345-431E-88BB-893362ADA909}" srcOrd="0" destOrd="0" presId="urn:microsoft.com/office/officeart/2005/8/layout/orgChart1"/>
    <dgm:cxn modelId="{A106C5F1-1500-4BB5-AB00-08664D2E66C3}" type="presParOf" srcId="{4D6B7E68-7345-431E-88BB-893362ADA909}" destId="{DA2E93DC-BB1D-4564-889B-BA004AC786E0}" srcOrd="0" destOrd="0" presId="urn:microsoft.com/office/officeart/2005/8/layout/orgChart1"/>
    <dgm:cxn modelId="{8236D07F-222A-496A-B6FC-E0A1EF046721}" type="presParOf" srcId="{4D6B7E68-7345-431E-88BB-893362ADA909}" destId="{99E07EF1-2718-49C0-B549-73DEE2F71416}" srcOrd="1" destOrd="0" presId="urn:microsoft.com/office/officeart/2005/8/layout/orgChart1"/>
    <dgm:cxn modelId="{3F95A740-1903-4EDF-AF3B-B01A8C7DAC01}" type="presParOf" srcId="{EB24A0CA-CF3C-48F9-925F-67D055FC3E19}" destId="{7B0E1761-D15E-4320-AA6E-52EBF3F2E66D}" srcOrd="1" destOrd="0" presId="urn:microsoft.com/office/officeart/2005/8/layout/orgChart1"/>
    <dgm:cxn modelId="{B837B5A8-B74D-446F-AFB6-F900CAE4E170}" type="presParOf" srcId="{7B0E1761-D15E-4320-AA6E-52EBF3F2E66D}" destId="{D7968CA6-A26B-43C5-9036-51384CB0A177}" srcOrd="0" destOrd="0" presId="urn:microsoft.com/office/officeart/2005/8/layout/orgChart1"/>
    <dgm:cxn modelId="{AB832D94-2068-4249-872D-5239F82FF183}" type="presParOf" srcId="{7B0E1761-D15E-4320-AA6E-52EBF3F2E66D}" destId="{5E1D58CE-2EAC-4297-BEA4-14F9FB70B9DC}" srcOrd="1" destOrd="0" presId="urn:microsoft.com/office/officeart/2005/8/layout/orgChart1"/>
    <dgm:cxn modelId="{A1FDFC2E-754D-40FA-BD9C-01E5C12A456F}" type="presParOf" srcId="{5E1D58CE-2EAC-4297-BEA4-14F9FB70B9DC}" destId="{F8FCB22D-B5A4-4DFA-B1D0-C9BC424E0291}" srcOrd="0" destOrd="0" presId="urn:microsoft.com/office/officeart/2005/8/layout/orgChart1"/>
    <dgm:cxn modelId="{FA6FA06D-A675-40C6-83E7-083536865FFB}" type="presParOf" srcId="{F8FCB22D-B5A4-4DFA-B1D0-C9BC424E0291}" destId="{47D7B08E-C006-4337-AFA5-B2B6AB5330E7}" srcOrd="0" destOrd="0" presId="urn:microsoft.com/office/officeart/2005/8/layout/orgChart1"/>
    <dgm:cxn modelId="{F37756B1-274F-42A0-8307-F41567F622D8}" type="presParOf" srcId="{F8FCB22D-B5A4-4DFA-B1D0-C9BC424E0291}" destId="{30BF917B-30C7-4244-BCF5-B6609692DE4D}" srcOrd="1" destOrd="0" presId="urn:microsoft.com/office/officeart/2005/8/layout/orgChart1"/>
    <dgm:cxn modelId="{FF670EA7-7A25-4395-8A19-322A89589F0F}" type="presParOf" srcId="{5E1D58CE-2EAC-4297-BEA4-14F9FB70B9DC}" destId="{CA706695-D83D-4307-9D43-2078468493DA}" srcOrd="1" destOrd="0" presId="urn:microsoft.com/office/officeart/2005/8/layout/orgChart1"/>
    <dgm:cxn modelId="{ADD01224-0067-4A94-B548-47D35EDB61AF}" type="presParOf" srcId="{5E1D58CE-2EAC-4297-BEA4-14F9FB70B9DC}" destId="{B34B29DD-FFDA-4380-8BFE-760AF2CEBD42}" srcOrd="2" destOrd="0" presId="urn:microsoft.com/office/officeart/2005/8/layout/orgChart1"/>
    <dgm:cxn modelId="{52CD9F69-E8C9-4F21-B787-02A934F7B049}" type="presParOf" srcId="{7B0E1761-D15E-4320-AA6E-52EBF3F2E66D}" destId="{0E0991F3-3934-47BB-929B-D5CDA7641990}" srcOrd="2" destOrd="0" presId="urn:microsoft.com/office/officeart/2005/8/layout/orgChart1"/>
    <dgm:cxn modelId="{9E84BE48-B531-4D77-8E4C-225018DCE5E9}" type="presParOf" srcId="{7B0E1761-D15E-4320-AA6E-52EBF3F2E66D}" destId="{329A036F-A499-429D-A48A-A92561947667}" srcOrd="3" destOrd="0" presId="urn:microsoft.com/office/officeart/2005/8/layout/orgChart1"/>
    <dgm:cxn modelId="{8D7ABD9D-E389-46B1-B921-F692F5E2B8BF}" type="presParOf" srcId="{329A036F-A499-429D-A48A-A92561947667}" destId="{AE82D68E-D9B7-46FF-85E9-8B70C6683B55}" srcOrd="0" destOrd="0" presId="urn:microsoft.com/office/officeart/2005/8/layout/orgChart1"/>
    <dgm:cxn modelId="{DAA2BB1F-F726-47FE-96B4-6C1EBB3DD6DA}" type="presParOf" srcId="{AE82D68E-D9B7-46FF-85E9-8B70C6683B55}" destId="{43E1BAD0-C612-479E-A76D-9ADDAE663A0D}" srcOrd="0" destOrd="0" presId="urn:microsoft.com/office/officeart/2005/8/layout/orgChart1"/>
    <dgm:cxn modelId="{50A7D0B0-3339-4C5F-975B-5A1AC5141208}" type="presParOf" srcId="{AE82D68E-D9B7-46FF-85E9-8B70C6683B55}" destId="{C3AE13EC-AD65-415B-91FB-22FE48785A3E}" srcOrd="1" destOrd="0" presId="urn:microsoft.com/office/officeart/2005/8/layout/orgChart1"/>
    <dgm:cxn modelId="{DE3B34E6-B330-47A9-AC8A-4819ADA15C07}" type="presParOf" srcId="{329A036F-A499-429D-A48A-A92561947667}" destId="{2C38C1EE-8865-4C5D-A418-8541DB06CDA8}" srcOrd="1" destOrd="0" presId="urn:microsoft.com/office/officeart/2005/8/layout/orgChart1"/>
    <dgm:cxn modelId="{DF79357D-F277-4FD9-89DD-291106278334}" type="presParOf" srcId="{329A036F-A499-429D-A48A-A92561947667}" destId="{8FB92146-00F4-4711-B047-DF4AF7DA2428}" srcOrd="2" destOrd="0" presId="urn:microsoft.com/office/officeart/2005/8/layout/orgChart1"/>
    <dgm:cxn modelId="{74A5E3CD-D026-4388-B6F6-9AD4F2B57EC4}" type="presParOf" srcId="{EB24A0CA-CF3C-48F9-925F-67D055FC3E19}" destId="{61A6C384-661D-4488-AD5D-768B4A947FBD}" srcOrd="2" destOrd="0" presId="urn:microsoft.com/office/officeart/2005/8/layout/orgChart1"/>
    <dgm:cxn modelId="{AC84A93D-7AFC-420C-9CE4-959DBC737A0D}" type="presParOf" srcId="{7A9C32C9-16BF-4D3E-BDD1-44D79FD1AB24}" destId="{3A9512E9-E1C5-4380-BA7C-8E54B5E137DF}" srcOrd="2" destOrd="0" presId="urn:microsoft.com/office/officeart/2005/8/layout/orgChart1"/>
    <dgm:cxn modelId="{7A71AC06-ED4E-462F-9111-F9CF23CCAC1D}" type="presParOf" srcId="{7A9C32C9-16BF-4D3E-BDD1-44D79FD1AB24}" destId="{075A8305-3775-48CC-A7D3-4320ADDF26A5}" srcOrd="3" destOrd="0" presId="urn:microsoft.com/office/officeart/2005/8/layout/orgChart1"/>
    <dgm:cxn modelId="{650AE8AF-2B56-4597-AB6D-19A339DBA44E}" type="presParOf" srcId="{075A8305-3775-48CC-A7D3-4320ADDF26A5}" destId="{914A0770-4145-43FC-8249-A757D3507335}" srcOrd="0" destOrd="0" presId="urn:microsoft.com/office/officeart/2005/8/layout/orgChart1"/>
    <dgm:cxn modelId="{84418E88-46B6-4E5C-92A4-26E6CF99258B}" type="presParOf" srcId="{914A0770-4145-43FC-8249-A757D3507335}" destId="{4CB3CC10-420D-4678-B4A5-F650FAA65CFC}" srcOrd="0" destOrd="0" presId="urn:microsoft.com/office/officeart/2005/8/layout/orgChart1"/>
    <dgm:cxn modelId="{74B78DA3-1573-4653-BBED-3A85E11C50C2}" type="presParOf" srcId="{914A0770-4145-43FC-8249-A757D3507335}" destId="{E962E456-3173-4AC8-9388-5565756FFDF6}" srcOrd="1" destOrd="0" presId="urn:microsoft.com/office/officeart/2005/8/layout/orgChart1"/>
    <dgm:cxn modelId="{8EF25480-B45E-4DF8-A473-D6C8120863FB}" type="presParOf" srcId="{075A8305-3775-48CC-A7D3-4320ADDF26A5}" destId="{7E0C7BB9-5BB2-4E5A-B8D7-6F7CFC60ED3A}" srcOrd="1" destOrd="0" presId="urn:microsoft.com/office/officeart/2005/8/layout/orgChart1"/>
    <dgm:cxn modelId="{06063BAE-0B9E-4D4E-B169-8F7E30735318}" type="presParOf" srcId="{7E0C7BB9-5BB2-4E5A-B8D7-6F7CFC60ED3A}" destId="{C53932D4-51E7-41F5-AE16-C6CBB114DFEA}" srcOrd="0" destOrd="0" presId="urn:microsoft.com/office/officeart/2005/8/layout/orgChart1"/>
    <dgm:cxn modelId="{3E7F0684-52A6-4805-8FEB-D5260C5EE561}" type="presParOf" srcId="{7E0C7BB9-5BB2-4E5A-B8D7-6F7CFC60ED3A}" destId="{79CB2B5B-3697-4993-BCA7-F0EA057118BB}" srcOrd="1" destOrd="0" presId="urn:microsoft.com/office/officeart/2005/8/layout/orgChart1"/>
    <dgm:cxn modelId="{8DC8B065-A5AC-4E01-9474-BE88F93A9F15}" type="presParOf" srcId="{79CB2B5B-3697-4993-BCA7-F0EA057118BB}" destId="{72A685EF-7D18-4EA0-BAEB-26A2161DFE0B}" srcOrd="0" destOrd="0" presId="urn:microsoft.com/office/officeart/2005/8/layout/orgChart1"/>
    <dgm:cxn modelId="{213CC418-0E47-475D-8EED-0F6C904CFC58}" type="presParOf" srcId="{72A685EF-7D18-4EA0-BAEB-26A2161DFE0B}" destId="{4AD3C1C4-D9EA-4B51-B2F8-F5F336E1219A}" srcOrd="0" destOrd="0" presId="urn:microsoft.com/office/officeart/2005/8/layout/orgChart1"/>
    <dgm:cxn modelId="{EA77A346-D434-4208-8615-BE4772BBA069}" type="presParOf" srcId="{72A685EF-7D18-4EA0-BAEB-26A2161DFE0B}" destId="{4FD3DBF8-676D-4E03-B8F9-806C982C4A66}" srcOrd="1" destOrd="0" presId="urn:microsoft.com/office/officeart/2005/8/layout/orgChart1"/>
    <dgm:cxn modelId="{6B065F5C-7F60-4B3A-9BF8-E49D2F7EB44A}" type="presParOf" srcId="{79CB2B5B-3697-4993-BCA7-F0EA057118BB}" destId="{2E82E7AF-352D-4745-8180-60B75AAE4DAE}" srcOrd="1" destOrd="0" presId="urn:microsoft.com/office/officeart/2005/8/layout/orgChart1"/>
    <dgm:cxn modelId="{614F8B14-4B62-47FA-AC28-624D5482EFCE}" type="presParOf" srcId="{79CB2B5B-3697-4993-BCA7-F0EA057118BB}" destId="{FB51DC32-34A1-4F42-91BE-E05D99339116}" srcOrd="2" destOrd="0" presId="urn:microsoft.com/office/officeart/2005/8/layout/orgChart1"/>
    <dgm:cxn modelId="{B0769E41-8BDC-4062-8EEA-F106AC93E83D}" type="presParOf" srcId="{7E0C7BB9-5BB2-4E5A-B8D7-6F7CFC60ED3A}" destId="{C3FAA0F3-7CCC-449C-A82C-F68F70EE100B}" srcOrd="2" destOrd="0" presId="urn:microsoft.com/office/officeart/2005/8/layout/orgChart1"/>
    <dgm:cxn modelId="{606D5A7B-EBE2-4D1F-B810-A7A278C38DBF}" type="presParOf" srcId="{7E0C7BB9-5BB2-4E5A-B8D7-6F7CFC60ED3A}" destId="{092F2FFF-9E60-49E0-9D67-A2B2110FF0CC}" srcOrd="3" destOrd="0" presId="urn:microsoft.com/office/officeart/2005/8/layout/orgChart1"/>
    <dgm:cxn modelId="{B0FD77AA-5D1F-4060-BDC8-5E9B8D2A5F2A}" type="presParOf" srcId="{092F2FFF-9E60-49E0-9D67-A2B2110FF0CC}" destId="{82F8FC69-1226-4888-89BA-50A29818B23D}" srcOrd="0" destOrd="0" presId="urn:microsoft.com/office/officeart/2005/8/layout/orgChart1"/>
    <dgm:cxn modelId="{33FEC272-06BA-4FBA-AC07-F6850FD54625}" type="presParOf" srcId="{82F8FC69-1226-4888-89BA-50A29818B23D}" destId="{8106893D-3A89-48AC-99BF-9C6C7C662C1D}" srcOrd="0" destOrd="0" presId="urn:microsoft.com/office/officeart/2005/8/layout/orgChart1"/>
    <dgm:cxn modelId="{3A58EBD5-57C2-4A23-9580-4832C708094E}" type="presParOf" srcId="{82F8FC69-1226-4888-89BA-50A29818B23D}" destId="{89AC791A-EBF2-49B2-B781-7B106A580939}" srcOrd="1" destOrd="0" presId="urn:microsoft.com/office/officeart/2005/8/layout/orgChart1"/>
    <dgm:cxn modelId="{433404D7-44CC-43E5-A5A3-CBF20EA9DBB1}" type="presParOf" srcId="{092F2FFF-9E60-49E0-9D67-A2B2110FF0CC}" destId="{73B52ECB-0E42-4B08-9326-A249EF79B2BA}" srcOrd="1" destOrd="0" presId="urn:microsoft.com/office/officeart/2005/8/layout/orgChart1"/>
    <dgm:cxn modelId="{E412C050-2416-4A58-8ECE-AFF7F41F1F09}" type="presParOf" srcId="{092F2FFF-9E60-49E0-9D67-A2B2110FF0CC}" destId="{D5915785-2B2B-4B31-8D2C-A650A8284AD3}" srcOrd="2" destOrd="0" presId="urn:microsoft.com/office/officeart/2005/8/layout/orgChart1"/>
    <dgm:cxn modelId="{18F2A3A4-DE32-4D18-BECF-AFA762C256AE}" type="presParOf" srcId="{7E0C7BB9-5BB2-4E5A-B8D7-6F7CFC60ED3A}" destId="{DE31F5CA-37EC-464B-A0E1-9AB790904E0E}" srcOrd="4" destOrd="0" presId="urn:microsoft.com/office/officeart/2005/8/layout/orgChart1"/>
    <dgm:cxn modelId="{69F0F29B-DEC6-4ADE-A473-B8722C058D6B}" type="presParOf" srcId="{7E0C7BB9-5BB2-4E5A-B8D7-6F7CFC60ED3A}" destId="{D467E7B8-8553-4750-9481-240B144A140A}" srcOrd="5" destOrd="0" presId="urn:microsoft.com/office/officeart/2005/8/layout/orgChart1"/>
    <dgm:cxn modelId="{D12E7E75-5C15-4772-A3C0-BDCFB803F8D2}" type="presParOf" srcId="{D467E7B8-8553-4750-9481-240B144A140A}" destId="{9020D338-B3A5-4F47-AA57-A04CF4F69450}" srcOrd="0" destOrd="0" presId="urn:microsoft.com/office/officeart/2005/8/layout/orgChart1"/>
    <dgm:cxn modelId="{7F88A7AD-4137-4E38-A763-CAC2BFCF0B91}" type="presParOf" srcId="{9020D338-B3A5-4F47-AA57-A04CF4F69450}" destId="{A197E7E5-E989-4B2D-830A-0E09071FB3E2}" srcOrd="0" destOrd="0" presId="urn:microsoft.com/office/officeart/2005/8/layout/orgChart1"/>
    <dgm:cxn modelId="{D26A460B-9197-463F-B8CE-5D4A8CEECD5F}" type="presParOf" srcId="{9020D338-B3A5-4F47-AA57-A04CF4F69450}" destId="{1E232AB8-93DE-4845-B58C-D44BE96A7024}" srcOrd="1" destOrd="0" presId="urn:microsoft.com/office/officeart/2005/8/layout/orgChart1"/>
    <dgm:cxn modelId="{082CA0B0-DB59-4D96-A8F6-5BC0E256138B}" type="presParOf" srcId="{D467E7B8-8553-4750-9481-240B144A140A}" destId="{338CCFC0-5726-4721-B4E9-EF0DACB834A8}" srcOrd="1" destOrd="0" presId="urn:microsoft.com/office/officeart/2005/8/layout/orgChart1"/>
    <dgm:cxn modelId="{3D72D754-DCD1-46BC-A1C3-7E91730D3358}" type="presParOf" srcId="{D467E7B8-8553-4750-9481-240B144A140A}" destId="{62BFC6B3-6425-493A-83F9-96A151286232}" srcOrd="2" destOrd="0" presId="urn:microsoft.com/office/officeart/2005/8/layout/orgChart1"/>
    <dgm:cxn modelId="{75DFDA36-4452-442A-B737-249E0EA8BFC1}" type="presParOf" srcId="{075A8305-3775-48CC-A7D3-4320ADDF26A5}" destId="{8CDCB8B8-B9F5-4D9F-938A-73D933864FEF}" srcOrd="2" destOrd="0" presId="urn:microsoft.com/office/officeart/2005/8/layout/orgChart1"/>
    <dgm:cxn modelId="{5805C64B-FB5A-46B8-9274-0E1A1A361F41}" type="presParOf" srcId="{385AF64B-4878-49AF-BB34-3F012067394B}" destId="{03864CF9-7B53-4B08-8E2A-D1D6CFCD74A7}" srcOrd="2" destOrd="0" presId="urn:microsoft.com/office/officeart/2005/8/layout/orgChart1"/>
    <dgm:cxn modelId="{02E0F069-6F94-41DE-82AA-EBE78184B8BB}" type="presParOf" srcId="{7F944FE0-D2A2-405B-BDFF-D1897631706E}" destId="{58BDADBE-4402-4E6F-AB6F-E215C5F98D3B}" srcOrd="8" destOrd="0" presId="urn:microsoft.com/office/officeart/2005/8/layout/orgChart1"/>
    <dgm:cxn modelId="{F0A76E12-6B1D-4B90-B339-3CDBE076D939}" type="presParOf" srcId="{7F944FE0-D2A2-405B-BDFF-D1897631706E}" destId="{CAC55414-926B-4025-9709-C51A1C0F1BA3}" srcOrd="9" destOrd="0" presId="urn:microsoft.com/office/officeart/2005/8/layout/orgChart1"/>
    <dgm:cxn modelId="{C72C7591-5F82-4B5A-A049-67F20578B50F}" type="presParOf" srcId="{CAC55414-926B-4025-9709-C51A1C0F1BA3}" destId="{84CEA5E3-2733-4C8E-82C3-8E65E6AC6A4F}" srcOrd="0" destOrd="0" presId="urn:microsoft.com/office/officeart/2005/8/layout/orgChart1"/>
    <dgm:cxn modelId="{6A2BBE13-16AC-4523-B4B9-72DE19F73D9C}" type="presParOf" srcId="{84CEA5E3-2733-4C8E-82C3-8E65E6AC6A4F}" destId="{0BF99F41-2B36-4860-856E-9B912562371F}" srcOrd="0" destOrd="0" presId="urn:microsoft.com/office/officeart/2005/8/layout/orgChart1"/>
    <dgm:cxn modelId="{CD06E973-4A2B-463E-8A1D-C87C07C83738}" type="presParOf" srcId="{84CEA5E3-2733-4C8E-82C3-8E65E6AC6A4F}" destId="{9BBA3CDE-9578-436B-BF71-4165D5256392}" srcOrd="1" destOrd="0" presId="urn:microsoft.com/office/officeart/2005/8/layout/orgChart1"/>
    <dgm:cxn modelId="{DAE43EDB-B780-4701-AD57-2D8AAD852608}" type="presParOf" srcId="{CAC55414-926B-4025-9709-C51A1C0F1BA3}" destId="{30CBF445-3176-4871-AE74-8842DAE8EA77}" srcOrd="1" destOrd="0" presId="urn:microsoft.com/office/officeart/2005/8/layout/orgChart1"/>
    <dgm:cxn modelId="{1FDB2F12-5051-470C-AC40-0AB80EF26670}" type="presParOf" srcId="{30CBF445-3176-4871-AE74-8842DAE8EA77}" destId="{56484EBF-27DD-4386-A0D0-1C14F44B1EE2}" srcOrd="0" destOrd="0" presId="urn:microsoft.com/office/officeart/2005/8/layout/orgChart1"/>
    <dgm:cxn modelId="{4290D1E9-341D-44CB-81FB-0A67E0B901B8}" type="presParOf" srcId="{30CBF445-3176-4871-AE74-8842DAE8EA77}" destId="{E63EB971-3061-4937-AAFE-A9B15516E3B4}" srcOrd="1" destOrd="0" presId="urn:microsoft.com/office/officeart/2005/8/layout/orgChart1"/>
    <dgm:cxn modelId="{861DCBBA-DD9F-4B0B-B652-497B503F04F4}" type="presParOf" srcId="{E63EB971-3061-4937-AAFE-A9B15516E3B4}" destId="{2036F450-66E3-430B-8CF0-2641100EEDE6}" srcOrd="0" destOrd="0" presId="urn:microsoft.com/office/officeart/2005/8/layout/orgChart1"/>
    <dgm:cxn modelId="{760C10CC-6B4A-4DEE-8852-A597FA76C508}" type="presParOf" srcId="{2036F450-66E3-430B-8CF0-2641100EEDE6}" destId="{1B7F2636-2E39-4D22-BF8C-4574EEF2DA91}" srcOrd="0" destOrd="0" presId="urn:microsoft.com/office/officeart/2005/8/layout/orgChart1"/>
    <dgm:cxn modelId="{7FDFEFCB-8217-4A4E-8E7F-675631C76F90}" type="presParOf" srcId="{2036F450-66E3-430B-8CF0-2641100EEDE6}" destId="{BE7BA4D1-2AE1-4EE2-9EB8-A1B10CF23D87}" srcOrd="1" destOrd="0" presId="urn:microsoft.com/office/officeart/2005/8/layout/orgChart1"/>
    <dgm:cxn modelId="{E049AEAF-DCAB-43BD-BF8D-93AC1FB0913C}" type="presParOf" srcId="{E63EB971-3061-4937-AAFE-A9B15516E3B4}" destId="{FA9B1E33-E44D-439C-B94A-A4ACF77A3ABE}" srcOrd="1" destOrd="0" presId="urn:microsoft.com/office/officeart/2005/8/layout/orgChart1"/>
    <dgm:cxn modelId="{9367498E-5A29-4AA8-AF86-99BA15FD50A1}" type="presParOf" srcId="{E63EB971-3061-4937-AAFE-A9B15516E3B4}" destId="{0D769C54-31F6-4E75-A1E5-34D1BB6F5B29}" srcOrd="2" destOrd="0" presId="urn:microsoft.com/office/officeart/2005/8/layout/orgChart1"/>
    <dgm:cxn modelId="{DE987850-B32E-4784-B914-A5FBB37AB6D8}" type="presParOf" srcId="{30CBF445-3176-4871-AE74-8842DAE8EA77}" destId="{47A21D83-0961-4F83-B6CA-9111DF4BFE52}" srcOrd="2" destOrd="0" presId="urn:microsoft.com/office/officeart/2005/8/layout/orgChart1"/>
    <dgm:cxn modelId="{67E2D471-5ACD-4E8F-91EE-99F23BC4BCCB}" type="presParOf" srcId="{30CBF445-3176-4871-AE74-8842DAE8EA77}" destId="{27C8648E-06C7-41E1-AB85-24ADACB06DA0}" srcOrd="3" destOrd="0" presId="urn:microsoft.com/office/officeart/2005/8/layout/orgChart1"/>
    <dgm:cxn modelId="{AE5C867B-D958-46D6-BAAC-39DDE124CB01}" type="presParOf" srcId="{27C8648E-06C7-41E1-AB85-24ADACB06DA0}" destId="{7FF5428D-C306-457D-B0CD-DBEC8B50A11D}" srcOrd="0" destOrd="0" presId="urn:microsoft.com/office/officeart/2005/8/layout/orgChart1"/>
    <dgm:cxn modelId="{1B7FB2C9-8947-4F65-BD1D-B5517647009F}" type="presParOf" srcId="{7FF5428D-C306-457D-B0CD-DBEC8B50A11D}" destId="{D2B32FE8-B300-4E27-B7E2-297F3F999D4E}" srcOrd="0" destOrd="0" presId="urn:microsoft.com/office/officeart/2005/8/layout/orgChart1"/>
    <dgm:cxn modelId="{2AD13E75-037C-45DF-ACDA-CF90CBCC82C7}" type="presParOf" srcId="{7FF5428D-C306-457D-B0CD-DBEC8B50A11D}" destId="{9F318731-EE01-4314-B79B-B28E42749C00}" srcOrd="1" destOrd="0" presId="urn:microsoft.com/office/officeart/2005/8/layout/orgChart1"/>
    <dgm:cxn modelId="{D2A9C128-423F-422D-BA90-4EE995BE9C00}" type="presParOf" srcId="{27C8648E-06C7-41E1-AB85-24ADACB06DA0}" destId="{81979E69-6B05-4EC7-AA2F-C9F76EBB2E89}" srcOrd="1" destOrd="0" presId="urn:microsoft.com/office/officeart/2005/8/layout/orgChart1"/>
    <dgm:cxn modelId="{7377343D-32BD-4CFB-B49C-BF1A51EE23AB}" type="presParOf" srcId="{27C8648E-06C7-41E1-AB85-24ADACB06DA0}" destId="{5C6B34E6-E6BA-4C7A-BDB3-963037826DD2}" srcOrd="2" destOrd="0" presId="urn:microsoft.com/office/officeart/2005/8/layout/orgChart1"/>
    <dgm:cxn modelId="{9F08E43E-64E0-48E0-9F97-B8FCF61133D5}" type="presParOf" srcId="{30CBF445-3176-4871-AE74-8842DAE8EA77}" destId="{807FA1CB-C069-4A68-9F5B-ACB3D4C2C7E0}" srcOrd="4" destOrd="0" presId="urn:microsoft.com/office/officeart/2005/8/layout/orgChart1"/>
    <dgm:cxn modelId="{E31466F6-2974-4E95-9608-F9165E799D14}" type="presParOf" srcId="{30CBF445-3176-4871-AE74-8842DAE8EA77}" destId="{D5654D94-4063-4907-90AD-D557FD0FC7D8}" srcOrd="5" destOrd="0" presId="urn:microsoft.com/office/officeart/2005/8/layout/orgChart1"/>
    <dgm:cxn modelId="{EB4B99A6-DB32-4928-A173-8C45F3FB69AA}" type="presParOf" srcId="{D5654D94-4063-4907-90AD-D557FD0FC7D8}" destId="{3B29332E-B997-4913-82FD-7ADE58B37E18}" srcOrd="0" destOrd="0" presId="urn:microsoft.com/office/officeart/2005/8/layout/orgChart1"/>
    <dgm:cxn modelId="{F3BFFA03-8488-496A-AB25-7C43E2D50736}" type="presParOf" srcId="{3B29332E-B997-4913-82FD-7ADE58B37E18}" destId="{0B77889B-AAC5-42E4-AC09-1DCA681BCE85}" srcOrd="0" destOrd="0" presId="urn:microsoft.com/office/officeart/2005/8/layout/orgChart1"/>
    <dgm:cxn modelId="{310FBE1B-E1A3-470B-874F-916F6BBD7246}" type="presParOf" srcId="{3B29332E-B997-4913-82FD-7ADE58B37E18}" destId="{45F7E176-19D1-4464-8B8E-5DA14B89B110}" srcOrd="1" destOrd="0" presId="urn:microsoft.com/office/officeart/2005/8/layout/orgChart1"/>
    <dgm:cxn modelId="{5155367C-192F-4257-939B-EA02AC13F191}" type="presParOf" srcId="{D5654D94-4063-4907-90AD-D557FD0FC7D8}" destId="{B4601DB9-3547-46B7-BCB9-99185FEAFD54}" srcOrd="1" destOrd="0" presId="urn:microsoft.com/office/officeart/2005/8/layout/orgChart1"/>
    <dgm:cxn modelId="{54BC8AEE-6831-4265-959C-D71BA3A76522}" type="presParOf" srcId="{D5654D94-4063-4907-90AD-D557FD0FC7D8}" destId="{A7A4D252-5741-44E4-B403-B75C460BBA4E}" srcOrd="2" destOrd="0" presId="urn:microsoft.com/office/officeart/2005/8/layout/orgChart1"/>
    <dgm:cxn modelId="{B05646DC-D262-4875-BA92-32157A3421D0}" type="presParOf" srcId="{CAC55414-926B-4025-9709-C51A1C0F1BA3}" destId="{06364E07-E5A5-47C1-8783-78E7393DD3C8}" srcOrd="2" destOrd="0" presId="urn:microsoft.com/office/officeart/2005/8/layout/orgChart1"/>
    <dgm:cxn modelId="{87C24E4D-3B70-4B43-9412-557B2797F426}" type="presParOf" srcId="{7F944FE0-D2A2-405B-BDFF-D1897631706E}" destId="{1CAB3E94-5855-4109-A43C-7105AD6B26D0}" srcOrd="10" destOrd="0" presId="urn:microsoft.com/office/officeart/2005/8/layout/orgChart1"/>
    <dgm:cxn modelId="{83469CB4-81DE-430C-B021-14D01E550E04}" type="presParOf" srcId="{7F944FE0-D2A2-405B-BDFF-D1897631706E}" destId="{F9117AA4-539E-4EE3-B164-8174B0B40EC0}" srcOrd="11" destOrd="0" presId="urn:microsoft.com/office/officeart/2005/8/layout/orgChart1"/>
    <dgm:cxn modelId="{F54B7B07-4CD1-41A9-B114-34151EC16ED7}" type="presParOf" srcId="{F9117AA4-539E-4EE3-B164-8174B0B40EC0}" destId="{EAF88972-4E53-4659-94BD-910A092B9148}" srcOrd="0" destOrd="0" presId="urn:microsoft.com/office/officeart/2005/8/layout/orgChart1"/>
    <dgm:cxn modelId="{4DE60D68-2A28-450E-A39E-9C1406F13E5E}" type="presParOf" srcId="{EAF88972-4E53-4659-94BD-910A092B9148}" destId="{3A2A1C1F-CABC-4C98-B728-F262323AA994}" srcOrd="0" destOrd="0" presId="urn:microsoft.com/office/officeart/2005/8/layout/orgChart1"/>
    <dgm:cxn modelId="{45CAFAAB-B05A-4D0D-BC95-D44B903991A6}" type="presParOf" srcId="{EAF88972-4E53-4659-94BD-910A092B9148}" destId="{0393B6C4-B4FB-4B6B-8DB5-37B9B19AABA4}" srcOrd="1" destOrd="0" presId="urn:microsoft.com/office/officeart/2005/8/layout/orgChart1"/>
    <dgm:cxn modelId="{F80F869F-5C9B-4F78-AC0E-3FC632EF3C2B}" type="presParOf" srcId="{F9117AA4-539E-4EE3-B164-8174B0B40EC0}" destId="{977D3813-5412-42A7-8B4D-5447A06AC163}" srcOrd="1" destOrd="0" presId="urn:microsoft.com/office/officeart/2005/8/layout/orgChart1"/>
    <dgm:cxn modelId="{0BE71C7E-9281-427A-99F9-BC5F60C54CDD}" type="presParOf" srcId="{977D3813-5412-42A7-8B4D-5447A06AC163}" destId="{78FA309A-083A-4C64-9477-7A3C69B2784C}" srcOrd="0" destOrd="0" presId="urn:microsoft.com/office/officeart/2005/8/layout/orgChart1"/>
    <dgm:cxn modelId="{1A5C6895-F901-495B-9F34-4F94A1CCE95C}" type="presParOf" srcId="{977D3813-5412-42A7-8B4D-5447A06AC163}" destId="{FEB3D90E-42D2-4AC7-9CB5-35870C299752}" srcOrd="1" destOrd="0" presId="urn:microsoft.com/office/officeart/2005/8/layout/orgChart1"/>
    <dgm:cxn modelId="{018D4DDA-860B-41E4-88BD-73D413F68961}" type="presParOf" srcId="{FEB3D90E-42D2-4AC7-9CB5-35870C299752}" destId="{05080593-A2ED-4379-91EC-55846B4CD50F}" srcOrd="0" destOrd="0" presId="urn:microsoft.com/office/officeart/2005/8/layout/orgChart1"/>
    <dgm:cxn modelId="{16731212-06EA-4BBE-812E-DD6DB5C9C98C}" type="presParOf" srcId="{05080593-A2ED-4379-91EC-55846B4CD50F}" destId="{6BAFA004-7462-4BB3-8CF7-8F0FAE532698}" srcOrd="0" destOrd="0" presId="urn:microsoft.com/office/officeart/2005/8/layout/orgChart1"/>
    <dgm:cxn modelId="{D73ADA14-7D0D-44AD-9B6C-616645AF3626}" type="presParOf" srcId="{05080593-A2ED-4379-91EC-55846B4CD50F}" destId="{C0FC47CA-1988-459D-A473-7CA219823B7E}" srcOrd="1" destOrd="0" presId="urn:microsoft.com/office/officeart/2005/8/layout/orgChart1"/>
    <dgm:cxn modelId="{B4E9CBC1-6BCA-4177-9BF4-F8A933C559BD}" type="presParOf" srcId="{FEB3D90E-42D2-4AC7-9CB5-35870C299752}" destId="{7C2A8F67-B35D-46B9-8CDC-F1C514C733F2}" srcOrd="1" destOrd="0" presId="urn:microsoft.com/office/officeart/2005/8/layout/orgChart1"/>
    <dgm:cxn modelId="{43200C7E-5098-4EB6-9B57-F63C2EACE628}" type="presParOf" srcId="{FEB3D90E-42D2-4AC7-9CB5-35870C299752}" destId="{0D223CD7-96A9-487A-A2F6-A9D48710FA30}" srcOrd="2" destOrd="0" presId="urn:microsoft.com/office/officeart/2005/8/layout/orgChart1"/>
    <dgm:cxn modelId="{1874F35E-5383-4BBD-A724-556040B27330}" type="presParOf" srcId="{977D3813-5412-42A7-8B4D-5447A06AC163}" destId="{679EAA6C-B7F9-45B1-B314-064B1497E450}" srcOrd="2" destOrd="0" presId="urn:microsoft.com/office/officeart/2005/8/layout/orgChart1"/>
    <dgm:cxn modelId="{380344C2-5564-4AFE-A8CE-7319C8B9FB1B}" type="presParOf" srcId="{977D3813-5412-42A7-8B4D-5447A06AC163}" destId="{A65D9E2F-0DF0-4606-978F-4875BE6D73B0}" srcOrd="3" destOrd="0" presId="urn:microsoft.com/office/officeart/2005/8/layout/orgChart1"/>
    <dgm:cxn modelId="{C130EC47-7864-4C0D-99E7-9CFFD1D49836}" type="presParOf" srcId="{A65D9E2F-0DF0-4606-978F-4875BE6D73B0}" destId="{6AF48B43-38E1-44C8-962D-77020524A35A}" srcOrd="0" destOrd="0" presId="urn:microsoft.com/office/officeart/2005/8/layout/orgChart1"/>
    <dgm:cxn modelId="{13289D56-19F0-428D-B184-6E4DF9DCD813}" type="presParOf" srcId="{6AF48B43-38E1-44C8-962D-77020524A35A}" destId="{8214640F-5D66-49B2-997F-5F320E255B10}" srcOrd="0" destOrd="0" presId="urn:microsoft.com/office/officeart/2005/8/layout/orgChart1"/>
    <dgm:cxn modelId="{41EA2354-4E25-4711-B75F-06E05AF7139B}" type="presParOf" srcId="{6AF48B43-38E1-44C8-962D-77020524A35A}" destId="{2B3E1A31-C7DC-446D-8815-E4813D3B56B4}" srcOrd="1" destOrd="0" presId="urn:microsoft.com/office/officeart/2005/8/layout/orgChart1"/>
    <dgm:cxn modelId="{A90C9612-1912-4F04-8B10-F13187BB7E43}" type="presParOf" srcId="{A65D9E2F-0DF0-4606-978F-4875BE6D73B0}" destId="{360721A3-6E7E-4BAF-9E41-ACAEBFCAE7AE}" srcOrd="1" destOrd="0" presId="urn:microsoft.com/office/officeart/2005/8/layout/orgChart1"/>
    <dgm:cxn modelId="{AC5AF2C9-0D57-47E4-9528-786CC5AD9FFC}" type="presParOf" srcId="{A65D9E2F-0DF0-4606-978F-4875BE6D73B0}" destId="{5DADC705-AA0C-45D6-969F-EB7762223FA5}" srcOrd="2" destOrd="0" presId="urn:microsoft.com/office/officeart/2005/8/layout/orgChart1"/>
    <dgm:cxn modelId="{AE139607-DDC9-4688-B238-FD945180775C}" type="presParOf" srcId="{977D3813-5412-42A7-8B4D-5447A06AC163}" destId="{52777498-AA74-4FC2-849F-C626B27A45B4}" srcOrd="4" destOrd="0" presId="urn:microsoft.com/office/officeart/2005/8/layout/orgChart1"/>
    <dgm:cxn modelId="{7B9F6543-286F-4FF4-996C-3EB407699B6C}" type="presParOf" srcId="{977D3813-5412-42A7-8B4D-5447A06AC163}" destId="{9ED8E56C-C0DA-4771-B928-9B8BF0AE6D47}" srcOrd="5" destOrd="0" presId="urn:microsoft.com/office/officeart/2005/8/layout/orgChart1"/>
    <dgm:cxn modelId="{D1E70D9F-6B61-42E9-B9D8-F0430F08CEB8}" type="presParOf" srcId="{9ED8E56C-C0DA-4771-B928-9B8BF0AE6D47}" destId="{866E3ED8-98DF-4099-A051-59DBAC27FD71}" srcOrd="0" destOrd="0" presId="urn:microsoft.com/office/officeart/2005/8/layout/orgChart1"/>
    <dgm:cxn modelId="{435E22A6-6B12-4307-8D21-A4DFC2C374C4}" type="presParOf" srcId="{866E3ED8-98DF-4099-A051-59DBAC27FD71}" destId="{0CE7C8B4-F8E6-429D-8C4A-73E9D60DCB81}" srcOrd="0" destOrd="0" presId="urn:microsoft.com/office/officeart/2005/8/layout/orgChart1"/>
    <dgm:cxn modelId="{83B965FF-0EF2-4F3F-9E0E-00FFA858D730}" type="presParOf" srcId="{866E3ED8-98DF-4099-A051-59DBAC27FD71}" destId="{7568918C-FAD7-4B9E-9AFD-52C33DE56813}" srcOrd="1" destOrd="0" presId="urn:microsoft.com/office/officeart/2005/8/layout/orgChart1"/>
    <dgm:cxn modelId="{FDCB68EF-8FAC-4AEE-8677-F2D28F682FD3}" type="presParOf" srcId="{9ED8E56C-C0DA-4771-B928-9B8BF0AE6D47}" destId="{E194985F-1898-4344-BB7D-4D437304ED4A}" srcOrd="1" destOrd="0" presId="urn:microsoft.com/office/officeart/2005/8/layout/orgChart1"/>
    <dgm:cxn modelId="{9C42EC4E-98C6-4CBE-9EE7-69111EE30B72}" type="presParOf" srcId="{9ED8E56C-C0DA-4771-B928-9B8BF0AE6D47}" destId="{39195D1C-2951-43BA-8692-AC232BEFBB80}" srcOrd="2" destOrd="0" presId="urn:microsoft.com/office/officeart/2005/8/layout/orgChart1"/>
    <dgm:cxn modelId="{614842A3-F0CE-4F6A-81F8-8F24686AEF50}" type="presParOf" srcId="{F9117AA4-539E-4EE3-B164-8174B0B40EC0}" destId="{C8F70C14-7D89-44D7-BB48-3CFE36D1427B}" srcOrd="2" destOrd="0" presId="urn:microsoft.com/office/officeart/2005/8/layout/orgChart1"/>
    <dgm:cxn modelId="{C907E2D6-33AB-482C-B743-AE7615063DD1}" type="presParOf" srcId="{7F944FE0-D2A2-405B-BDFF-D1897631706E}" destId="{82E60BB5-7FD2-4219-AE7C-29971BDCB4BB}" srcOrd="12" destOrd="0" presId="urn:microsoft.com/office/officeart/2005/8/layout/orgChart1"/>
    <dgm:cxn modelId="{DB7CE798-4382-4380-A167-79830B84C402}" type="presParOf" srcId="{7F944FE0-D2A2-405B-BDFF-D1897631706E}" destId="{A7850FBB-26BD-4AD2-A515-BD8832D8474B}" srcOrd="13" destOrd="0" presId="urn:microsoft.com/office/officeart/2005/8/layout/orgChart1"/>
    <dgm:cxn modelId="{0E32880C-1336-4D00-A633-0B826051E2FD}" type="presParOf" srcId="{A7850FBB-26BD-4AD2-A515-BD8832D8474B}" destId="{4B54CD39-71A9-47B6-B354-9E2E224A5749}" srcOrd="0" destOrd="0" presId="urn:microsoft.com/office/officeart/2005/8/layout/orgChart1"/>
    <dgm:cxn modelId="{D866C402-4E53-4D39-986B-1B777D6CFDD6}" type="presParOf" srcId="{4B54CD39-71A9-47B6-B354-9E2E224A5749}" destId="{9A681887-5350-4EBE-BD43-C7E4297AB1BB}" srcOrd="0" destOrd="0" presId="urn:microsoft.com/office/officeart/2005/8/layout/orgChart1"/>
    <dgm:cxn modelId="{E39456E2-019D-4676-A428-847482F5C95F}" type="presParOf" srcId="{4B54CD39-71A9-47B6-B354-9E2E224A5749}" destId="{14354306-A96D-4F9B-B8CB-A1923889D20A}" srcOrd="1" destOrd="0" presId="urn:microsoft.com/office/officeart/2005/8/layout/orgChart1"/>
    <dgm:cxn modelId="{E46856CC-C6A0-476C-8569-81382005C0E5}" type="presParOf" srcId="{A7850FBB-26BD-4AD2-A515-BD8832D8474B}" destId="{60EE685C-BCD2-4AF8-9900-DC7BE1C8761E}" srcOrd="1" destOrd="0" presId="urn:microsoft.com/office/officeart/2005/8/layout/orgChart1"/>
    <dgm:cxn modelId="{8767A536-B3F9-41C8-AE90-F2A60780DE6B}" type="presParOf" srcId="{60EE685C-BCD2-4AF8-9900-DC7BE1C8761E}" destId="{6185FE85-F6F3-47C8-BC28-BFB1B081D47E}" srcOrd="0" destOrd="0" presId="urn:microsoft.com/office/officeart/2005/8/layout/orgChart1"/>
    <dgm:cxn modelId="{E3B3DF91-D2BA-4AC9-A1CA-C82C48186F37}" type="presParOf" srcId="{60EE685C-BCD2-4AF8-9900-DC7BE1C8761E}" destId="{8116A3A0-2E0B-4D77-B5A2-B6CBCF7ADB15}" srcOrd="1" destOrd="0" presId="urn:microsoft.com/office/officeart/2005/8/layout/orgChart1"/>
    <dgm:cxn modelId="{66345AC3-AB78-4F16-9932-8C939ECEB4AB}" type="presParOf" srcId="{8116A3A0-2E0B-4D77-B5A2-B6CBCF7ADB15}" destId="{81199921-AF0E-4033-957C-9C1B01D1C91B}" srcOrd="0" destOrd="0" presId="urn:microsoft.com/office/officeart/2005/8/layout/orgChart1"/>
    <dgm:cxn modelId="{31859D6F-1F18-469C-B68B-56F4B85B8641}" type="presParOf" srcId="{81199921-AF0E-4033-957C-9C1B01D1C91B}" destId="{A4073290-40FA-4447-A63D-A2A271E69369}" srcOrd="0" destOrd="0" presId="urn:microsoft.com/office/officeart/2005/8/layout/orgChart1"/>
    <dgm:cxn modelId="{0F4E58AB-0ED1-40A7-9115-3308EAA0D8BE}" type="presParOf" srcId="{81199921-AF0E-4033-957C-9C1B01D1C91B}" destId="{8DE7EDC3-030C-4699-90B7-316F8F127CEA}" srcOrd="1" destOrd="0" presId="urn:microsoft.com/office/officeart/2005/8/layout/orgChart1"/>
    <dgm:cxn modelId="{4377DD22-1C9B-475C-A34B-0D1AE36503C3}" type="presParOf" srcId="{8116A3A0-2E0B-4D77-B5A2-B6CBCF7ADB15}" destId="{8EE53B03-8214-420C-9321-FEE828B4616A}" srcOrd="1" destOrd="0" presId="urn:microsoft.com/office/officeart/2005/8/layout/orgChart1"/>
    <dgm:cxn modelId="{1EAF1539-3F3A-4638-8F22-C09C6CF2E203}" type="presParOf" srcId="{8116A3A0-2E0B-4D77-B5A2-B6CBCF7ADB15}" destId="{CAF7050B-39E0-4667-AEBF-9E47F60B4B83}" srcOrd="2" destOrd="0" presId="urn:microsoft.com/office/officeart/2005/8/layout/orgChart1"/>
    <dgm:cxn modelId="{8EE5CBB7-1625-48F7-ABA7-D969671D0F8E}" type="presParOf" srcId="{60EE685C-BCD2-4AF8-9900-DC7BE1C8761E}" destId="{BA5F9E80-3D5F-4248-9517-86F91EE0B8E9}" srcOrd="2" destOrd="0" presId="urn:microsoft.com/office/officeart/2005/8/layout/orgChart1"/>
    <dgm:cxn modelId="{E8FC6515-C9CE-48B2-93F6-D7D9D2442B0F}" type="presParOf" srcId="{60EE685C-BCD2-4AF8-9900-DC7BE1C8761E}" destId="{352CBE99-8B60-4598-A01C-4B9A74376B3F}" srcOrd="3" destOrd="0" presId="urn:microsoft.com/office/officeart/2005/8/layout/orgChart1"/>
    <dgm:cxn modelId="{49F418D1-1E3C-49C6-A251-D890C0A41A03}" type="presParOf" srcId="{352CBE99-8B60-4598-A01C-4B9A74376B3F}" destId="{DC9B8021-D8A5-43E4-AC56-C6AE77A81C33}" srcOrd="0" destOrd="0" presId="urn:microsoft.com/office/officeart/2005/8/layout/orgChart1"/>
    <dgm:cxn modelId="{91E7F17E-CB7B-485D-A580-6A3FF09CFBA8}" type="presParOf" srcId="{DC9B8021-D8A5-43E4-AC56-C6AE77A81C33}" destId="{CC7BE9CC-9E44-4B05-9B0E-850124C3547A}" srcOrd="0" destOrd="0" presId="urn:microsoft.com/office/officeart/2005/8/layout/orgChart1"/>
    <dgm:cxn modelId="{5C0814DB-5981-45F3-9BB1-F801BCBED83E}" type="presParOf" srcId="{DC9B8021-D8A5-43E4-AC56-C6AE77A81C33}" destId="{521FEAC1-E658-4130-BFDF-12AE10471782}" srcOrd="1" destOrd="0" presId="urn:microsoft.com/office/officeart/2005/8/layout/orgChart1"/>
    <dgm:cxn modelId="{26FE3B7D-8F01-4D23-9F7C-15C1BD13A40B}" type="presParOf" srcId="{352CBE99-8B60-4598-A01C-4B9A74376B3F}" destId="{2E10A84D-28AC-4389-B262-EEC5AC14DF6E}" srcOrd="1" destOrd="0" presId="urn:microsoft.com/office/officeart/2005/8/layout/orgChart1"/>
    <dgm:cxn modelId="{130AE3F7-4532-4C44-8910-5F769B5B90FB}" type="presParOf" srcId="{352CBE99-8B60-4598-A01C-4B9A74376B3F}" destId="{96841731-AA54-4777-9CA5-E03DBB960C6B}" srcOrd="2" destOrd="0" presId="urn:microsoft.com/office/officeart/2005/8/layout/orgChart1"/>
    <dgm:cxn modelId="{A32B1028-0252-4B6C-BF91-2EDBC92F3B1C}" type="presParOf" srcId="{60EE685C-BCD2-4AF8-9900-DC7BE1C8761E}" destId="{86E8989D-6C94-463D-9588-B288E8BD09F3}" srcOrd="4" destOrd="0" presId="urn:microsoft.com/office/officeart/2005/8/layout/orgChart1"/>
    <dgm:cxn modelId="{CA64CD74-9961-48F5-BDFE-319850C020F8}" type="presParOf" srcId="{60EE685C-BCD2-4AF8-9900-DC7BE1C8761E}" destId="{897D0B9E-933E-4446-B30B-688525330F47}" srcOrd="5" destOrd="0" presId="urn:microsoft.com/office/officeart/2005/8/layout/orgChart1"/>
    <dgm:cxn modelId="{0C019D09-9587-4C02-9261-757BB0391560}" type="presParOf" srcId="{897D0B9E-933E-4446-B30B-688525330F47}" destId="{70461A7E-F756-462D-8D14-C27FED726120}" srcOrd="0" destOrd="0" presId="urn:microsoft.com/office/officeart/2005/8/layout/orgChart1"/>
    <dgm:cxn modelId="{7C7723DD-7D5A-4B26-9ACE-E1B461BAB746}" type="presParOf" srcId="{70461A7E-F756-462D-8D14-C27FED726120}" destId="{55EC4157-21BA-4613-8860-42E031585862}" srcOrd="0" destOrd="0" presId="urn:microsoft.com/office/officeart/2005/8/layout/orgChart1"/>
    <dgm:cxn modelId="{BEEC362F-F0D8-4BE1-881D-FBD88C05AF71}" type="presParOf" srcId="{70461A7E-F756-462D-8D14-C27FED726120}" destId="{ABCA2F01-C14C-4548-BBBB-84ED0283C97F}" srcOrd="1" destOrd="0" presId="urn:microsoft.com/office/officeart/2005/8/layout/orgChart1"/>
    <dgm:cxn modelId="{3416BE31-E451-4F6A-B193-3520A4E6AA55}" type="presParOf" srcId="{897D0B9E-933E-4446-B30B-688525330F47}" destId="{E67A4277-2D09-4FAD-9002-FF01C2B652C7}" srcOrd="1" destOrd="0" presId="urn:microsoft.com/office/officeart/2005/8/layout/orgChart1"/>
    <dgm:cxn modelId="{6AC872CB-6562-440F-9AD4-2D48F8FA5E6A}" type="presParOf" srcId="{897D0B9E-933E-4446-B30B-688525330F47}" destId="{6BF51E8D-76E3-4BD5-82A3-F693AB920637}" srcOrd="2" destOrd="0" presId="urn:microsoft.com/office/officeart/2005/8/layout/orgChart1"/>
    <dgm:cxn modelId="{2424F2C3-7709-48AC-A749-05DADFA9EB68}" type="presParOf" srcId="{A7850FBB-26BD-4AD2-A515-BD8832D8474B}" destId="{77E6A972-0C83-4850-8B51-4CF832FCB47F}" srcOrd="2" destOrd="0" presId="urn:microsoft.com/office/officeart/2005/8/layout/orgChart1"/>
    <dgm:cxn modelId="{EE9B5906-9A28-454C-9E35-92CFD820AA22}" type="presParOf" srcId="{7F944FE0-D2A2-405B-BDFF-D1897631706E}" destId="{70257897-199B-45F9-8E97-4C591BBE7B3F}" srcOrd="14" destOrd="0" presId="urn:microsoft.com/office/officeart/2005/8/layout/orgChart1"/>
    <dgm:cxn modelId="{2F3B5C15-D986-4FF0-879B-869D3C5A681D}" type="presParOf" srcId="{7F944FE0-D2A2-405B-BDFF-D1897631706E}" destId="{1A481C3A-726B-47D4-9D7B-FCF69649D262}" srcOrd="15" destOrd="0" presId="urn:microsoft.com/office/officeart/2005/8/layout/orgChart1"/>
    <dgm:cxn modelId="{08F44702-F8BB-4A1C-ADB9-707701C3BAE4}" type="presParOf" srcId="{1A481C3A-726B-47D4-9D7B-FCF69649D262}" destId="{45347127-FB9E-44B6-B492-91D4020B1E35}" srcOrd="0" destOrd="0" presId="urn:microsoft.com/office/officeart/2005/8/layout/orgChart1"/>
    <dgm:cxn modelId="{DA02CB6E-BF42-47FD-B3D2-6B4FF310EE83}" type="presParOf" srcId="{45347127-FB9E-44B6-B492-91D4020B1E35}" destId="{36F65EB3-A93B-4BDE-AD59-D991F66D50DB}" srcOrd="0" destOrd="0" presId="urn:microsoft.com/office/officeart/2005/8/layout/orgChart1"/>
    <dgm:cxn modelId="{BEEE1ED9-76F9-4AD2-9234-0D47225307BF}" type="presParOf" srcId="{45347127-FB9E-44B6-B492-91D4020B1E35}" destId="{826A7F83-80B8-45B1-B66F-D6D09AC2C066}" srcOrd="1" destOrd="0" presId="urn:microsoft.com/office/officeart/2005/8/layout/orgChart1"/>
    <dgm:cxn modelId="{0A00FCF6-2925-4D72-A2AC-A6FEE80F64FA}" type="presParOf" srcId="{1A481C3A-726B-47D4-9D7B-FCF69649D262}" destId="{A3EF5188-FB3C-4934-BB09-246D4D5078CE}" srcOrd="1" destOrd="0" presId="urn:microsoft.com/office/officeart/2005/8/layout/orgChart1"/>
    <dgm:cxn modelId="{0699F500-8A7E-47D8-81BE-57BD664EB300}" type="presParOf" srcId="{A3EF5188-FB3C-4934-BB09-246D4D5078CE}" destId="{3CB9AA48-4DCA-4619-BFC8-64D366B147BD}" srcOrd="0" destOrd="0" presId="urn:microsoft.com/office/officeart/2005/8/layout/orgChart1"/>
    <dgm:cxn modelId="{4FACB274-B5F5-4A9C-9BB0-074E909E542B}" type="presParOf" srcId="{A3EF5188-FB3C-4934-BB09-246D4D5078CE}" destId="{2EDBCA8B-07DE-4449-A088-AACE44912C64}" srcOrd="1" destOrd="0" presId="urn:microsoft.com/office/officeart/2005/8/layout/orgChart1"/>
    <dgm:cxn modelId="{7502436E-FD2F-4F42-9232-A04C265F0AF2}" type="presParOf" srcId="{2EDBCA8B-07DE-4449-A088-AACE44912C64}" destId="{958B1EFD-E2EF-4221-AB92-43FC5E2D2409}" srcOrd="0" destOrd="0" presId="urn:microsoft.com/office/officeart/2005/8/layout/orgChart1"/>
    <dgm:cxn modelId="{7FCBC6D8-014D-4B4B-AC69-0CDBA6146356}" type="presParOf" srcId="{958B1EFD-E2EF-4221-AB92-43FC5E2D2409}" destId="{26279B3F-32AE-429E-8F6A-E74283514EA0}" srcOrd="0" destOrd="0" presId="urn:microsoft.com/office/officeart/2005/8/layout/orgChart1"/>
    <dgm:cxn modelId="{6BC8B51B-4AE2-4E45-B982-E9D41A865139}" type="presParOf" srcId="{958B1EFD-E2EF-4221-AB92-43FC5E2D2409}" destId="{3E384659-83D8-423C-BB17-F82A4F217F6D}" srcOrd="1" destOrd="0" presId="urn:microsoft.com/office/officeart/2005/8/layout/orgChart1"/>
    <dgm:cxn modelId="{E6B8A303-A8ED-4386-942D-176691A8478A}" type="presParOf" srcId="{2EDBCA8B-07DE-4449-A088-AACE44912C64}" destId="{377B847C-99F1-4BC5-8FFF-7E1F4C0431B2}" srcOrd="1" destOrd="0" presId="urn:microsoft.com/office/officeart/2005/8/layout/orgChart1"/>
    <dgm:cxn modelId="{506A3A37-3776-4F61-A9D5-988483715190}" type="presParOf" srcId="{2EDBCA8B-07DE-4449-A088-AACE44912C64}" destId="{B1DB0582-F24F-4CD8-90DF-8BAD77F3785D}" srcOrd="2" destOrd="0" presId="urn:microsoft.com/office/officeart/2005/8/layout/orgChart1"/>
    <dgm:cxn modelId="{228DE94E-CB7E-4C68-B79E-722D40B7897E}" type="presParOf" srcId="{A3EF5188-FB3C-4934-BB09-246D4D5078CE}" destId="{BFBC2126-85D5-4905-9E09-CD7F082453CB}" srcOrd="2" destOrd="0" presId="urn:microsoft.com/office/officeart/2005/8/layout/orgChart1"/>
    <dgm:cxn modelId="{E008BCDB-7417-4665-A10A-0C1411E1F879}" type="presParOf" srcId="{A3EF5188-FB3C-4934-BB09-246D4D5078CE}" destId="{6D1751FF-08CF-4C8A-9130-AB710414D12A}" srcOrd="3" destOrd="0" presId="urn:microsoft.com/office/officeart/2005/8/layout/orgChart1"/>
    <dgm:cxn modelId="{7A4FE7E1-C242-43E1-9E1B-B863CF3B6DDD}" type="presParOf" srcId="{6D1751FF-08CF-4C8A-9130-AB710414D12A}" destId="{CC07FEE9-35FB-4014-9CEC-B70F58552A9B}" srcOrd="0" destOrd="0" presId="urn:microsoft.com/office/officeart/2005/8/layout/orgChart1"/>
    <dgm:cxn modelId="{FEE0AECE-4668-4D9F-A397-3036ADA7B330}" type="presParOf" srcId="{CC07FEE9-35FB-4014-9CEC-B70F58552A9B}" destId="{463E7EE2-DBFC-4EC0-BC5D-9271F221CF32}" srcOrd="0" destOrd="0" presId="urn:microsoft.com/office/officeart/2005/8/layout/orgChart1"/>
    <dgm:cxn modelId="{33529371-D9E6-4326-B400-9261A4D02BF7}" type="presParOf" srcId="{CC07FEE9-35FB-4014-9CEC-B70F58552A9B}" destId="{F6623B5E-28CD-4799-A9B4-EF636C566661}" srcOrd="1" destOrd="0" presId="urn:microsoft.com/office/officeart/2005/8/layout/orgChart1"/>
    <dgm:cxn modelId="{CB4686AA-73AD-4504-A2C5-686B3AF4775A}" type="presParOf" srcId="{6D1751FF-08CF-4C8A-9130-AB710414D12A}" destId="{7A0BD660-4546-460D-9E6B-F3F854B7DC92}" srcOrd="1" destOrd="0" presId="urn:microsoft.com/office/officeart/2005/8/layout/orgChart1"/>
    <dgm:cxn modelId="{B50D4E11-721F-415E-A8D1-8FEFA3E60B6E}" type="presParOf" srcId="{6D1751FF-08CF-4C8A-9130-AB710414D12A}" destId="{59812310-0E22-4722-86D4-BDD21C2AA230}" srcOrd="2" destOrd="0" presId="urn:microsoft.com/office/officeart/2005/8/layout/orgChart1"/>
    <dgm:cxn modelId="{1DD29B46-F2A7-42CD-AD55-D493ED63FBFC}" type="presParOf" srcId="{A3EF5188-FB3C-4934-BB09-246D4D5078CE}" destId="{2E30FFB8-D40D-42E9-AC77-18EF4B8DF612}" srcOrd="4" destOrd="0" presId="urn:microsoft.com/office/officeart/2005/8/layout/orgChart1"/>
    <dgm:cxn modelId="{8082FF84-5A8F-40DB-9E2F-49BE9A8FE069}" type="presParOf" srcId="{A3EF5188-FB3C-4934-BB09-246D4D5078CE}" destId="{B68FF941-43D8-4872-9387-7FE17CC00603}" srcOrd="5" destOrd="0" presId="urn:microsoft.com/office/officeart/2005/8/layout/orgChart1"/>
    <dgm:cxn modelId="{B01AB838-0567-4D7E-AD74-4EDDF92DE944}" type="presParOf" srcId="{B68FF941-43D8-4872-9387-7FE17CC00603}" destId="{11FD2BA7-1C29-4BC1-B624-210B5F266C15}" srcOrd="0" destOrd="0" presId="urn:microsoft.com/office/officeart/2005/8/layout/orgChart1"/>
    <dgm:cxn modelId="{A3689D8E-209B-4474-B0BC-A596FE563DBB}" type="presParOf" srcId="{11FD2BA7-1C29-4BC1-B624-210B5F266C15}" destId="{133F1FC1-C5F4-4978-BE80-4F349F36D878}" srcOrd="0" destOrd="0" presId="urn:microsoft.com/office/officeart/2005/8/layout/orgChart1"/>
    <dgm:cxn modelId="{0BB885A1-A2B0-4805-A4A2-9C5E2694B5CD}" type="presParOf" srcId="{11FD2BA7-1C29-4BC1-B624-210B5F266C15}" destId="{5A747205-C3F6-4D4A-B739-6135E3BDFDEF}" srcOrd="1" destOrd="0" presId="urn:microsoft.com/office/officeart/2005/8/layout/orgChart1"/>
    <dgm:cxn modelId="{ED9CD99A-141F-4741-B90A-BDCA7D1EE25D}" type="presParOf" srcId="{B68FF941-43D8-4872-9387-7FE17CC00603}" destId="{4688A203-31C8-4F6D-8E07-CBF05F576CB7}" srcOrd="1" destOrd="0" presId="urn:microsoft.com/office/officeart/2005/8/layout/orgChart1"/>
    <dgm:cxn modelId="{8A55B11A-0C24-47F8-9B94-BAD58C67589F}" type="presParOf" srcId="{B68FF941-43D8-4872-9387-7FE17CC00603}" destId="{013542E4-FA51-4362-BEF1-28DA7C204773}" srcOrd="2" destOrd="0" presId="urn:microsoft.com/office/officeart/2005/8/layout/orgChart1"/>
    <dgm:cxn modelId="{6D07DDC8-D9DA-4C23-A93A-EDC1333CE06C}" type="presParOf" srcId="{1A481C3A-726B-47D4-9D7B-FCF69649D262}" destId="{44626B8E-D9CC-4D64-A0A9-A870DD812824}" srcOrd="2" destOrd="0" presId="urn:microsoft.com/office/officeart/2005/8/layout/orgChart1"/>
    <dgm:cxn modelId="{2F2229B2-0C70-42B1-B87C-DA9B36A6399C}" type="presParOf" srcId="{7F944FE0-D2A2-405B-BDFF-D1897631706E}" destId="{95E2F74E-F847-4663-BDD7-0A5BE67FBABA}" srcOrd="16" destOrd="0" presId="urn:microsoft.com/office/officeart/2005/8/layout/orgChart1"/>
    <dgm:cxn modelId="{8DA24D95-58D3-4BB0-893B-5F6D5BC3ACE5}" type="presParOf" srcId="{7F944FE0-D2A2-405B-BDFF-D1897631706E}" destId="{58CA9A7A-FBFD-42DB-B4A3-D56704AA6977}" srcOrd="17" destOrd="0" presId="urn:microsoft.com/office/officeart/2005/8/layout/orgChart1"/>
    <dgm:cxn modelId="{D2A2D0D9-1149-4EDC-9153-E7352355EA0F}" type="presParOf" srcId="{58CA9A7A-FBFD-42DB-B4A3-D56704AA6977}" destId="{039843FC-32B3-4C06-BF76-AD0E8557F518}" srcOrd="0" destOrd="0" presId="urn:microsoft.com/office/officeart/2005/8/layout/orgChart1"/>
    <dgm:cxn modelId="{B5B9C8EB-9322-4BB4-B929-4AEBC777E7FD}" type="presParOf" srcId="{039843FC-32B3-4C06-BF76-AD0E8557F518}" destId="{66215115-E87F-416B-87DA-9B997A3EC349}" srcOrd="0" destOrd="0" presId="urn:microsoft.com/office/officeart/2005/8/layout/orgChart1"/>
    <dgm:cxn modelId="{3F68D68D-26F0-44C3-8ABF-2D8629B8374A}" type="presParOf" srcId="{039843FC-32B3-4C06-BF76-AD0E8557F518}" destId="{09DDE27A-7945-43B7-A1B3-41101585F0CD}" srcOrd="1" destOrd="0" presId="urn:microsoft.com/office/officeart/2005/8/layout/orgChart1"/>
    <dgm:cxn modelId="{58E37AAB-1A97-4751-A4D5-37003E7B6110}" type="presParOf" srcId="{58CA9A7A-FBFD-42DB-B4A3-D56704AA6977}" destId="{2A9EE20B-950C-4346-8C81-41F64B0AED1C}" srcOrd="1" destOrd="0" presId="urn:microsoft.com/office/officeart/2005/8/layout/orgChart1"/>
    <dgm:cxn modelId="{D896AC17-C174-4989-BDFD-191867CB2DD8}" type="presParOf" srcId="{2A9EE20B-950C-4346-8C81-41F64B0AED1C}" destId="{3C4B0898-FEC4-425E-A62E-7F6211895D7C}" srcOrd="0" destOrd="0" presId="urn:microsoft.com/office/officeart/2005/8/layout/orgChart1"/>
    <dgm:cxn modelId="{0B83ED84-B830-4D79-927D-BBBD54386224}" type="presParOf" srcId="{2A9EE20B-950C-4346-8C81-41F64B0AED1C}" destId="{6D8BE0E7-C739-48D4-94CD-B3A729367ADF}" srcOrd="1" destOrd="0" presId="urn:microsoft.com/office/officeart/2005/8/layout/orgChart1"/>
    <dgm:cxn modelId="{0D485E21-F476-45E6-83A7-470B1453F762}" type="presParOf" srcId="{6D8BE0E7-C739-48D4-94CD-B3A729367ADF}" destId="{BF6A829C-3E52-4A79-858E-4B245123D10B}" srcOrd="0" destOrd="0" presId="urn:microsoft.com/office/officeart/2005/8/layout/orgChart1"/>
    <dgm:cxn modelId="{3D5D7B36-2BEF-4FA4-A517-2FA2E1A5622A}" type="presParOf" srcId="{BF6A829C-3E52-4A79-858E-4B245123D10B}" destId="{526919F3-C1E6-4952-AA9E-1BBFD8E73B82}" srcOrd="0" destOrd="0" presId="urn:microsoft.com/office/officeart/2005/8/layout/orgChart1"/>
    <dgm:cxn modelId="{E07F20DE-562C-4329-B659-65B6678891BA}" type="presParOf" srcId="{BF6A829C-3E52-4A79-858E-4B245123D10B}" destId="{37D81D16-9FA0-4B40-B026-416F10041A47}" srcOrd="1" destOrd="0" presId="urn:microsoft.com/office/officeart/2005/8/layout/orgChart1"/>
    <dgm:cxn modelId="{FE839F69-6E12-45BB-8B6C-BF6866CCE179}" type="presParOf" srcId="{6D8BE0E7-C739-48D4-94CD-B3A729367ADF}" destId="{E3A87363-8253-4DFD-B5DA-1375CF1BE0E3}" srcOrd="1" destOrd="0" presId="urn:microsoft.com/office/officeart/2005/8/layout/orgChart1"/>
    <dgm:cxn modelId="{505D5A80-861E-4124-8E12-3CB7AA8E7260}" type="presParOf" srcId="{6D8BE0E7-C739-48D4-94CD-B3A729367ADF}" destId="{A68BCB51-F41E-4D84-B0EA-CA82DA6E0B69}" srcOrd="2" destOrd="0" presId="urn:microsoft.com/office/officeart/2005/8/layout/orgChart1"/>
    <dgm:cxn modelId="{4073E161-2684-4914-BF07-8C542C2D3120}" type="presParOf" srcId="{2A9EE20B-950C-4346-8C81-41F64B0AED1C}" destId="{0F5DED51-8461-4FB1-B14E-D45B6BB35082}" srcOrd="2" destOrd="0" presId="urn:microsoft.com/office/officeart/2005/8/layout/orgChart1"/>
    <dgm:cxn modelId="{908FAB28-B6E7-46B8-9F1B-7D8A5E9B04FE}" type="presParOf" srcId="{2A9EE20B-950C-4346-8C81-41F64B0AED1C}" destId="{555A9E2F-CBF6-45C9-9C64-61FB46C9D944}" srcOrd="3" destOrd="0" presId="urn:microsoft.com/office/officeart/2005/8/layout/orgChart1"/>
    <dgm:cxn modelId="{E54AA13A-BA6C-4B35-AD97-9711F11C1475}" type="presParOf" srcId="{555A9E2F-CBF6-45C9-9C64-61FB46C9D944}" destId="{AB771391-DF63-4BD7-9D22-9BD806234214}" srcOrd="0" destOrd="0" presId="urn:microsoft.com/office/officeart/2005/8/layout/orgChart1"/>
    <dgm:cxn modelId="{DB861184-CF6F-4CB5-9294-F486F0E5258F}" type="presParOf" srcId="{AB771391-DF63-4BD7-9D22-9BD806234214}" destId="{ECADA643-1779-4DA2-8AA6-C1EAF32B0C15}" srcOrd="0" destOrd="0" presId="urn:microsoft.com/office/officeart/2005/8/layout/orgChart1"/>
    <dgm:cxn modelId="{CE9A22D1-BC94-465A-87FF-9809050AC588}" type="presParOf" srcId="{AB771391-DF63-4BD7-9D22-9BD806234214}" destId="{F770A9C2-2252-4D51-A331-8617B1485A2E}" srcOrd="1" destOrd="0" presId="urn:microsoft.com/office/officeart/2005/8/layout/orgChart1"/>
    <dgm:cxn modelId="{535A0945-A25F-4E30-81C4-70F95D694DB8}" type="presParOf" srcId="{555A9E2F-CBF6-45C9-9C64-61FB46C9D944}" destId="{75D89AAE-808D-4720-9DDC-7EDBA7447EF7}" srcOrd="1" destOrd="0" presId="urn:microsoft.com/office/officeart/2005/8/layout/orgChart1"/>
    <dgm:cxn modelId="{8D65AAFB-BD73-486C-B163-0EC0D8303014}" type="presParOf" srcId="{555A9E2F-CBF6-45C9-9C64-61FB46C9D944}" destId="{676BBFF2-9E97-4095-9520-F80CAF882694}" srcOrd="2" destOrd="0" presId="urn:microsoft.com/office/officeart/2005/8/layout/orgChart1"/>
    <dgm:cxn modelId="{E653A018-71F0-4B9F-B48B-B67737D77A7F}" type="presParOf" srcId="{2A9EE20B-950C-4346-8C81-41F64B0AED1C}" destId="{9B6FEAED-F609-4ABD-9830-664C2D6F7BC4}" srcOrd="4" destOrd="0" presId="urn:microsoft.com/office/officeart/2005/8/layout/orgChart1"/>
    <dgm:cxn modelId="{D57A92C6-76DB-442B-B9ED-489D9147A161}" type="presParOf" srcId="{2A9EE20B-950C-4346-8C81-41F64B0AED1C}" destId="{D8DEFD14-83E4-4BB6-8FE0-D4EA6BAA21BB}" srcOrd="5" destOrd="0" presId="urn:microsoft.com/office/officeart/2005/8/layout/orgChart1"/>
    <dgm:cxn modelId="{7BA9BCFF-B485-4156-9B38-6D965BF214AC}" type="presParOf" srcId="{D8DEFD14-83E4-4BB6-8FE0-D4EA6BAA21BB}" destId="{551A77EE-2883-4BF6-8447-54DA232B9A0F}" srcOrd="0" destOrd="0" presId="urn:microsoft.com/office/officeart/2005/8/layout/orgChart1"/>
    <dgm:cxn modelId="{63CB2C7F-2B33-46A6-8306-65B317E0D152}" type="presParOf" srcId="{551A77EE-2883-4BF6-8447-54DA232B9A0F}" destId="{77F7510F-B277-4906-B909-89B1197C6DDE}" srcOrd="0" destOrd="0" presId="urn:microsoft.com/office/officeart/2005/8/layout/orgChart1"/>
    <dgm:cxn modelId="{E79388C4-C010-4DB6-8553-23364202AF06}" type="presParOf" srcId="{551A77EE-2883-4BF6-8447-54DA232B9A0F}" destId="{58BCE5B8-AC2E-43FA-B884-A8172ED4A1EB}" srcOrd="1" destOrd="0" presId="urn:microsoft.com/office/officeart/2005/8/layout/orgChart1"/>
    <dgm:cxn modelId="{63A75D40-4E48-475C-A023-477287B4942B}" type="presParOf" srcId="{D8DEFD14-83E4-4BB6-8FE0-D4EA6BAA21BB}" destId="{372C23E0-3C22-4331-A3CB-CA9B4A603276}" srcOrd="1" destOrd="0" presId="urn:microsoft.com/office/officeart/2005/8/layout/orgChart1"/>
    <dgm:cxn modelId="{1DECFBBF-C89D-4C3F-91A5-C1FC696ED8AC}" type="presParOf" srcId="{D8DEFD14-83E4-4BB6-8FE0-D4EA6BAA21BB}" destId="{A9F5020C-DCC7-4A5D-A3FC-09601CD9B78A}" srcOrd="2" destOrd="0" presId="urn:microsoft.com/office/officeart/2005/8/layout/orgChart1"/>
    <dgm:cxn modelId="{C770BFE6-EAA6-42EA-8985-73505ACE64AA}" type="presParOf" srcId="{58CA9A7A-FBFD-42DB-B4A3-D56704AA6977}" destId="{3833F1C6-A6B1-46E6-8A15-F930B1F8D329}" srcOrd="2" destOrd="0" presId="urn:microsoft.com/office/officeart/2005/8/layout/orgChart1"/>
    <dgm:cxn modelId="{A03D1E97-1B5D-4A18-B833-EE08C7F9467D}" type="presParOf" srcId="{7F944FE0-D2A2-405B-BDFF-D1897631706E}" destId="{6859BE2E-B830-41FF-B86E-79A6F3BD7732}" srcOrd="18" destOrd="0" presId="urn:microsoft.com/office/officeart/2005/8/layout/orgChart1"/>
    <dgm:cxn modelId="{CA1E3C5F-CAD1-45DB-85C6-19E65F1EBACC}" type="presParOf" srcId="{7F944FE0-D2A2-405B-BDFF-D1897631706E}" destId="{8D866DCF-59CC-4DD5-B28E-62F3EE38D392}" srcOrd="19" destOrd="0" presId="urn:microsoft.com/office/officeart/2005/8/layout/orgChart1"/>
    <dgm:cxn modelId="{CABD4B23-CEB8-42AB-9B7A-8FD738AAAC45}" type="presParOf" srcId="{8D866DCF-59CC-4DD5-B28E-62F3EE38D392}" destId="{8AA59441-871E-4CB9-974F-BBB2590582D3}" srcOrd="0" destOrd="0" presId="urn:microsoft.com/office/officeart/2005/8/layout/orgChart1"/>
    <dgm:cxn modelId="{491E19C8-1E3B-491B-9C05-7A86E3CD71B8}" type="presParOf" srcId="{8AA59441-871E-4CB9-974F-BBB2590582D3}" destId="{9A7C5AEB-3E05-469A-95FE-22BE39540AE1}" srcOrd="0" destOrd="0" presId="urn:microsoft.com/office/officeart/2005/8/layout/orgChart1"/>
    <dgm:cxn modelId="{FE3ABCA3-79F6-4968-A6DC-73034FE0ED41}" type="presParOf" srcId="{8AA59441-871E-4CB9-974F-BBB2590582D3}" destId="{43608A5B-3808-436B-B5E2-C7A7C19E947A}" srcOrd="1" destOrd="0" presId="urn:microsoft.com/office/officeart/2005/8/layout/orgChart1"/>
    <dgm:cxn modelId="{8E37A424-516C-485C-9FA9-133CC35D46ED}" type="presParOf" srcId="{8D866DCF-59CC-4DD5-B28E-62F3EE38D392}" destId="{07619283-906A-4B7F-A688-B948772364C0}" srcOrd="1" destOrd="0" presId="urn:microsoft.com/office/officeart/2005/8/layout/orgChart1"/>
    <dgm:cxn modelId="{42F2D624-D33A-4B5E-B14F-93D877FF69DD}" type="presParOf" srcId="{07619283-906A-4B7F-A688-B948772364C0}" destId="{6B9387C3-2537-4FE2-8085-C859547936ED}" srcOrd="0" destOrd="0" presId="urn:microsoft.com/office/officeart/2005/8/layout/orgChart1"/>
    <dgm:cxn modelId="{0C2BA383-2A8A-44B6-8D34-495381E5FDB4}" type="presParOf" srcId="{07619283-906A-4B7F-A688-B948772364C0}" destId="{19521A41-1468-43CA-8648-B0DAEE5747D7}" srcOrd="1" destOrd="0" presId="urn:microsoft.com/office/officeart/2005/8/layout/orgChart1"/>
    <dgm:cxn modelId="{7F0FD365-487B-4E92-B5E0-6C538B9456EE}" type="presParOf" srcId="{19521A41-1468-43CA-8648-B0DAEE5747D7}" destId="{AC83BF55-15E5-4CA9-8603-040C1C724931}" srcOrd="0" destOrd="0" presId="urn:microsoft.com/office/officeart/2005/8/layout/orgChart1"/>
    <dgm:cxn modelId="{251E7661-41C4-47CF-A9D0-B203C54113C7}" type="presParOf" srcId="{AC83BF55-15E5-4CA9-8603-040C1C724931}" destId="{250F3822-B3AA-4407-90AE-B2B8D5EF00A9}" srcOrd="0" destOrd="0" presId="urn:microsoft.com/office/officeart/2005/8/layout/orgChart1"/>
    <dgm:cxn modelId="{24620278-71A8-4E39-B546-D2E67B52F72A}" type="presParOf" srcId="{AC83BF55-15E5-4CA9-8603-040C1C724931}" destId="{3D5DCA66-EC03-4D13-94BA-59130EF8F053}" srcOrd="1" destOrd="0" presId="urn:microsoft.com/office/officeart/2005/8/layout/orgChart1"/>
    <dgm:cxn modelId="{08D14196-6382-4DA0-AA3D-907080B11260}" type="presParOf" srcId="{19521A41-1468-43CA-8648-B0DAEE5747D7}" destId="{DC06BBD4-9CFE-43AB-B5BD-BC44CD6E3076}" srcOrd="1" destOrd="0" presId="urn:microsoft.com/office/officeart/2005/8/layout/orgChart1"/>
    <dgm:cxn modelId="{03F405BB-CC51-4A6D-A3FF-ED7909132C25}" type="presParOf" srcId="{19521A41-1468-43CA-8648-B0DAEE5747D7}" destId="{4976DE3A-1E73-4C99-A568-953ACA700A8A}" srcOrd="2" destOrd="0" presId="urn:microsoft.com/office/officeart/2005/8/layout/orgChart1"/>
    <dgm:cxn modelId="{73BEC947-13DF-45BE-BC37-85E52CDFB9B6}" type="presParOf" srcId="{07619283-906A-4B7F-A688-B948772364C0}" destId="{89695C53-1190-42FF-86CC-6209DC216241}" srcOrd="2" destOrd="0" presId="urn:microsoft.com/office/officeart/2005/8/layout/orgChart1"/>
    <dgm:cxn modelId="{56103642-50B6-4E67-BB45-2FC1426A7736}" type="presParOf" srcId="{07619283-906A-4B7F-A688-B948772364C0}" destId="{2091A16D-1C0D-4F82-A103-83C5761C684D}" srcOrd="3" destOrd="0" presId="urn:microsoft.com/office/officeart/2005/8/layout/orgChart1"/>
    <dgm:cxn modelId="{EFC9D930-DFE3-4B43-A2C6-84B4B9BC7E6B}" type="presParOf" srcId="{2091A16D-1C0D-4F82-A103-83C5761C684D}" destId="{EED680E5-5D13-4D31-96F1-F5C06ADCAF46}" srcOrd="0" destOrd="0" presId="urn:microsoft.com/office/officeart/2005/8/layout/orgChart1"/>
    <dgm:cxn modelId="{D9F32052-715E-407A-9D91-5910A974A133}" type="presParOf" srcId="{EED680E5-5D13-4D31-96F1-F5C06ADCAF46}" destId="{9BEC86F9-D6A7-4983-86A8-08577B7FE900}" srcOrd="0" destOrd="0" presId="urn:microsoft.com/office/officeart/2005/8/layout/orgChart1"/>
    <dgm:cxn modelId="{F19338DA-0732-433B-8E1B-74CFA4493220}" type="presParOf" srcId="{EED680E5-5D13-4D31-96F1-F5C06ADCAF46}" destId="{BAE3A63D-44E0-41CC-9D09-F10B1732475A}" srcOrd="1" destOrd="0" presId="urn:microsoft.com/office/officeart/2005/8/layout/orgChart1"/>
    <dgm:cxn modelId="{E450A112-C7BE-456E-B62D-572669ED9418}" type="presParOf" srcId="{2091A16D-1C0D-4F82-A103-83C5761C684D}" destId="{E48E0602-2F06-48C0-8919-CE0533050729}" srcOrd="1" destOrd="0" presId="urn:microsoft.com/office/officeart/2005/8/layout/orgChart1"/>
    <dgm:cxn modelId="{3A32D58C-7BEB-4A8D-9F8F-382169299D8F}" type="presParOf" srcId="{2091A16D-1C0D-4F82-A103-83C5761C684D}" destId="{EB7A1FFC-E249-429A-A32C-B391C7308432}" srcOrd="2" destOrd="0" presId="urn:microsoft.com/office/officeart/2005/8/layout/orgChart1"/>
    <dgm:cxn modelId="{DBE7322F-8400-4FBF-8497-AC275DD3849C}" type="presParOf" srcId="{07619283-906A-4B7F-A688-B948772364C0}" destId="{F7AFC83A-F643-4B31-A648-492A9D843CA2}" srcOrd="4" destOrd="0" presId="urn:microsoft.com/office/officeart/2005/8/layout/orgChart1"/>
    <dgm:cxn modelId="{D6CA2C51-38BC-4FA0-A23A-7B94C216F406}" type="presParOf" srcId="{07619283-906A-4B7F-A688-B948772364C0}" destId="{835ADFDF-C842-46B1-B54A-B1FA59F9D79F}" srcOrd="5" destOrd="0" presId="urn:microsoft.com/office/officeart/2005/8/layout/orgChart1"/>
    <dgm:cxn modelId="{AE7CFF1C-896E-4DB7-B7B0-F352716E60C2}" type="presParOf" srcId="{835ADFDF-C842-46B1-B54A-B1FA59F9D79F}" destId="{5BAB1841-5EAE-4680-B0F4-7AF885288287}" srcOrd="0" destOrd="0" presId="urn:microsoft.com/office/officeart/2005/8/layout/orgChart1"/>
    <dgm:cxn modelId="{A5EFE328-00A8-4E20-92A5-6572ECB47EB0}" type="presParOf" srcId="{5BAB1841-5EAE-4680-B0F4-7AF885288287}" destId="{68D73AD6-74BD-4C2E-A75E-08E466B13B32}" srcOrd="0" destOrd="0" presId="urn:microsoft.com/office/officeart/2005/8/layout/orgChart1"/>
    <dgm:cxn modelId="{FB47A05C-E22C-48EA-B0AC-CC2E9248120B}" type="presParOf" srcId="{5BAB1841-5EAE-4680-B0F4-7AF885288287}" destId="{4DEEC77A-A0DC-4AFB-B445-C99CA3365BBD}" srcOrd="1" destOrd="0" presId="urn:microsoft.com/office/officeart/2005/8/layout/orgChart1"/>
    <dgm:cxn modelId="{B91E1543-3B4F-48A1-900B-EC8FFFBFC0F1}" type="presParOf" srcId="{835ADFDF-C842-46B1-B54A-B1FA59F9D79F}" destId="{B4291639-8210-4D83-99F7-E61BAB130FDE}" srcOrd="1" destOrd="0" presId="urn:microsoft.com/office/officeart/2005/8/layout/orgChart1"/>
    <dgm:cxn modelId="{91A6298D-A619-4429-997C-529D5B633F3B}" type="presParOf" srcId="{835ADFDF-C842-46B1-B54A-B1FA59F9D79F}" destId="{84752CA9-C509-44F7-AB05-F333616F1CFD}" srcOrd="2" destOrd="0" presId="urn:microsoft.com/office/officeart/2005/8/layout/orgChart1"/>
    <dgm:cxn modelId="{CC32EEBB-F100-493D-A648-AB655DCA662B}" type="presParOf" srcId="{8D866DCF-59CC-4DD5-B28E-62F3EE38D392}" destId="{836B10AC-82D9-4DB4-A773-693582BDB9D0}" srcOrd="2" destOrd="0" presId="urn:microsoft.com/office/officeart/2005/8/layout/orgChart1"/>
    <dgm:cxn modelId="{02F39377-92C5-426F-9EC8-ECB703EC5533}" type="presParOf" srcId="{7F944FE0-D2A2-405B-BDFF-D1897631706E}" destId="{7009101D-659E-4AC4-B6A0-8312127BD0D5}" srcOrd="20" destOrd="0" presId="urn:microsoft.com/office/officeart/2005/8/layout/orgChart1"/>
    <dgm:cxn modelId="{FDC8EE08-BF7D-4834-B60E-1643A82992FD}" type="presParOf" srcId="{7F944FE0-D2A2-405B-BDFF-D1897631706E}" destId="{5AD6FC9D-6064-445F-8A06-CCA400DB3B08}" srcOrd="21" destOrd="0" presId="urn:microsoft.com/office/officeart/2005/8/layout/orgChart1"/>
    <dgm:cxn modelId="{F44909BA-543B-4BB0-B388-1B1A92059515}" type="presParOf" srcId="{5AD6FC9D-6064-445F-8A06-CCA400DB3B08}" destId="{15F16340-459A-4A27-A204-D236E8C20740}" srcOrd="0" destOrd="0" presId="urn:microsoft.com/office/officeart/2005/8/layout/orgChart1"/>
    <dgm:cxn modelId="{0FC81F14-E612-4048-B122-94831D25E39A}" type="presParOf" srcId="{15F16340-459A-4A27-A204-D236E8C20740}" destId="{F5C5F184-CBCA-49BB-BB7E-3A0146C211EB}" srcOrd="0" destOrd="0" presId="urn:microsoft.com/office/officeart/2005/8/layout/orgChart1"/>
    <dgm:cxn modelId="{9708D7C6-99F8-47BD-8D65-D33047C7806B}" type="presParOf" srcId="{15F16340-459A-4A27-A204-D236E8C20740}" destId="{7E0A6FE1-6E00-44A1-81D8-0EA2A6CD2AF3}" srcOrd="1" destOrd="0" presId="urn:microsoft.com/office/officeart/2005/8/layout/orgChart1"/>
    <dgm:cxn modelId="{E2921464-8ABF-418B-9640-28BCA311B362}" type="presParOf" srcId="{5AD6FC9D-6064-445F-8A06-CCA400DB3B08}" destId="{5ACBC9EB-3255-4183-99C6-36BFA4DB898A}" srcOrd="1" destOrd="0" presId="urn:microsoft.com/office/officeart/2005/8/layout/orgChart1"/>
    <dgm:cxn modelId="{682882C6-0FD8-4A7B-BE6F-A4DB648BD6FB}" type="presParOf" srcId="{5ACBC9EB-3255-4183-99C6-36BFA4DB898A}" destId="{D6F69DBC-B0FC-4A08-AC6B-4A6F9030A7BD}" srcOrd="0" destOrd="0" presId="urn:microsoft.com/office/officeart/2005/8/layout/orgChart1"/>
    <dgm:cxn modelId="{9132731C-0CDE-4E06-B32C-D3C8592E8111}" type="presParOf" srcId="{5ACBC9EB-3255-4183-99C6-36BFA4DB898A}" destId="{F66A1E48-16A7-4FB5-8156-CD2E1045FFBE}" srcOrd="1" destOrd="0" presId="urn:microsoft.com/office/officeart/2005/8/layout/orgChart1"/>
    <dgm:cxn modelId="{9F958FF3-D143-4E24-8285-437F3E0CCCC0}" type="presParOf" srcId="{F66A1E48-16A7-4FB5-8156-CD2E1045FFBE}" destId="{3F7CDCDE-6C8D-4873-91F7-40BD160249CE}" srcOrd="0" destOrd="0" presId="urn:microsoft.com/office/officeart/2005/8/layout/orgChart1"/>
    <dgm:cxn modelId="{7EF17C4C-0D46-4BB4-B36B-DCA6F8EFA148}" type="presParOf" srcId="{3F7CDCDE-6C8D-4873-91F7-40BD160249CE}" destId="{3E37B074-43F2-410D-A821-9E917734EEF5}" srcOrd="0" destOrd="0" presId="urn:microsoft.com/office/officeart/2005/8/layout/orgChart1"/>
    <dgm:cxn modelId="{F785D7D1-B258-4947-BB80-AEF7755657DA}" type="presParOf" srcId="{3F7CDCDE-6C8D-4873-91F7-40BD160249CE}" destId="{18956CBC-7222-4318-87FC-278CA4BA3768}" srcOrd="1" destOrd="0" presId="urn:microsoft.com/office/officeart/2005/8/layout/orgChart1"/>
    <dgm:cxn modelId="{89121800-9DD3-45EA-9D4B-FC865ACD7A65}" type="presParOf" srcId="{F66A1E48-16A7-4FB5-8156-CD2E1045FFBE}" destId="{D1A1BB6E-75BB-4B08-90C4-382CBCE3ACAC}" srcOrd="1" destOrd="0" presId="urn:microsoft.com/office/officeart/2005/8/layout/orgChart1"/>
    <dgm:cxn modelId="{2DB72CA4-8AB6-4099-BCE1-613232559A49}" type="presParOf" srcId="{F66A1E48-16A7-4FB5-8156-CD2E1045FFBE}" destId="{8D5B18A0-80A4-4C22-87BC-EEB3E6785EB2}" srcOrd="2" destOrd="0" presId="urn:microsoft.com/office/officeart/2005/8/layout/orgChart1"/>
    <dgm:cxn modelId="{86B90D90-27A8-40DD-B4D1-C01A66CA92EE}" type="presParOf" srcId="{5ACBC9EB-3255-4183-99C6-36BFA4DB898A}" destId="{1F22369C-0260-40DE-A3B5-80071F47CFCB}" srcOrd="2" destOrd="0" presId="urn:microsoft.com/office/officeart/2005/8/layout/orgChart1"/>
    <dgm:cxn modelId="{58496954-9366-40F6-8318-4362E843A9CB}" type="presParOf" srcId="{5ACBC9EB-3255-4183-99C6-36BFA4DB898A}" destId="{751DE3A9-98AD-4BB8-9614-99AE6394060E}" srcOrd="3" destOrd="0" presId="urn:microsoft.com/office/officeart/2005/8/layout/orgChart1"/>
    <dgm:cxn modelId="{5B6631BB-8019-42FC-87DF-1517F35EC83D}" type="presParOf" srcId="{751DE3A9-98AD-4BB8-9614-99AE6394060E}" destId="{C7124B80-AFC6-4098-8F7C-B68AC9998F53}" srcOrd="0" destOrd="0" presId="urn:microsoft.com/office/officeart/2005/8/layout/orgChart1"/>
    <dgm:cxn modelId="{E2E284FE-0316-4579-8E4D-F1D4CA25133D}" type="presParOf" srcId="{C7124B80-AFC6-4098-8F7C-B68AC9998F53}" destId="{E1649481-31C2-4E1C-A6F3-BCDF01D59BD2}" srcOrd="0" destOrd="0" presId="urn:microsoft.com/office/officeart/2005/8/layout/orgChart1"/>
    <dgm:cxn modelId="{FB8ABB42-B73B-4CFD-8D8A-26FDAA960DB3}" type="presParOf" srcId="{C7124B80-AFC6-4098-8F7C-B68AC9998F53}" destId="{F7BA7A01-E042-4673-AEEA-303514636AFE}" srcOrd="1" destOrd="0" presId="urn:microsoft.com/office/officeart/2005/8/layout/orgChart1"/>
    <dgm:cxn modelId="{7AB3A8BC-C72E-4EDF-9242-F9B7814945E7}" type="presParOf" srcId="{751DE3A9-98AD-4BB8-9614-99AE6394060E}" destId="{B9732F4F-BE78-4B49-9091-821A719A5806}" srcOrd="1" destOrd="0" presId="urn:microsoft.com/office/officeart/2005/8/layout/orgChart1"/>
    <dgm:cxn modelId="{7C3EA607-F3A6-4274-A156-02E64D1BF0ED}" type="presParOf" srcId="{751DE3A9-98AD-4BB8-9614-99AE6394060E}" destId="{02D762C6-91EC-4FE8-8DD5-7C4C3BF95BC3}" srcOrd="2" destOrd="0" presId="urn:microsoft.com/office/officeart/2005/8/layout/orgChart1"/>
    <dgm:cxn modelId="{767C4E36-506F-41DD-A4B0-A2B2707B0915}" type="presParOf" srcId="{5ACBC9EB-3255-4183-99C6-36BFA4DB898A}" destId="{9A5CF57C-EB3E-499E-8222-998FF1F3959E}" srcOrd="4" destOrd="0" presId="urn:microsoft.com/office/officeart/2005/8/layout/orgChart1"/>
    <dgm:cxn modelId="{A2FE2B89-7443-40C4-834B-34542BC68D02}" type="presParOf" srcId="{5ACBC9EB-3255-4183-99C6-36BFA4DB898A}" destId="{5704E418-CC6E-4FAE-B4C3-1F565F11B0A5}" srcOrd="5" destOrd="0" presId="urn:microsoft.com/office/officeart/2005/8/layout/orgChart1"/>
    <dgm:cxn modelId="{1012EC9E-C110-4D52-BE35-CB1972B88024}" type="presParOf" srcId="{5704E418-CC6E-4FAE-B4C3-1F565F11B0A5}" destId="{6457224C-B2A9-4E68-93C7-6A30D187AD21}" srcOrd="0" destOrd="0" presId="urn:microsoft.com/office/officeart/2005/8/layout/orgChart1"/>
    <dgm:cxn modelId="{6B2E6228-0A2E-4A61-BC2F-C2EC8406632F}" type="presParOf" srcId="{6457224C-B2A9-4E68-93C7-6A30D187AD21}" destId="{5D899EB1-B601-4B33-9059-E0DEFEEE5318}" srcOrd="0" destOrd="0" presId="urn:microsoft.com/office/officeart/2005/8/layout/orgChart1"/>
    <dgm:cxn modelId="{87A400E9-58BD-43D0-B6E9-3D45D617DF7F}" type="presParOf" srcId="{6457224C-B2A9-4E68-93C7-6A30D187AD21}" destId="{8BDE05C9-053F-4C88-B814-2D8F4E34080D}" srcOrd="1" destOrd="0" presId="urn:microsoft.com/office/officeart/2005/8/layout/orgChart1"/>
    <dgm:cxn modelId="{F6A38076-0FAF-40C6-9B65-E8B83E6ADC36}" type="presParOf" srcId="{5704E418-CC6E-4FAE-B4C3-1F565F11B0A5}" destId="{EBBFD4E0-68FF-4B5E-9CC1-134C676AC247}" srcOrd="1" destOrd="0" presId="urn:microsoft.com/office/officeart/2005/8/layout/orgChart1"/>
    <dgm:cxn modelId="{9ACF2EE1-6E7F-4C65-9887-49FDDBC50035}" type="presParOf" srcId="{5704E418-CC6E-4FAE-B4C3-1F565F11B0A5}" destId="{1511A876-7870-4D0C-96F8-5E48CF5B2D4C}" srcOrd="2" destOrd="0" presId="urn:microsoft.com/office/officeart/2005/8/layout/orgChart1"/>
    <dgm:cxn modelId="{20342A05-CE16-49CC-88CA-1F65EFBA935A}" type="presParOf" srcId="{5AD6FC9D-6064-445F-8A06-CCA400DB3B08}" destId="{75BBA576-24A0-4355-8678-C16C1DF84B6E}" srcOrd="2" destOrd="0" presId="urn:microsoft.com/office/officeart/2005/8/layout/orgChart1"/>
    <dgm:cxn modelId="{9AB3537C-8857-4F5A-93FF-1EF9293FD52B}" type="presParOf" srcId="{0A189367-43EC-4441-BA08-750B899E9469}" destId="{3B9D5E95-1320-46BA-A01E-BC0D01F0FFE2}" srcOrd="2" destOrd="0" presId="urn:microsoft.com/office/officeart/2005/8/layout/orgChart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9A5CF57C-EB3E-499E-8222-998FF1F3959E}">
      <dsp:nvSpPr>
        <dsp:cNvPr id="0" name=""/>
        <dsp:cNvSpPr/>
      </dsp:nvSpPr>
      <dsp:spPr>
        <a:xfrm>
          <a:off x="14170839" y="1751605"/>
          <a:ext cx="130488" cy="1764031"/>
        </a:xfrm>
        <a:custGeom>
          <a:avLst/>
          <a:gdLst/>
          <a:ahLst/>
          <a:cxnLst/>
          <a:rect l="0" t="0" r="0" b="0"/>
          <a:pathLst>
            <a:path>
              <a:moveTo>
                <a:pt x="0" y="0"/>
              </a:moveTo>
              <a:lnTo>
                <a:pt x="0" y="1764031"/>
              </a:lnTo>
              <a:lnTo>
                <a:pt x="130488" y="1764031"/>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1F22369C-0260-40DE-A3B5-80071F47CFCB}">
      <dsp:nvSpPr>
        <dsp:cNvPr id="0" name=""/>
        <dsp:cNvSpPr/>
      </dsp:nvSpPr>
      <dsp:spPr>
        <a:xfrm>
          <a:off x="14170839" y="1751605"/>
          <a:ext cx="130488" cy="1097828"/>
        </a:xfrm>
        <a:custGeom>
          <a:avLst/>
          <a:gdLst/>
          <a:ahLst/>
          <a:cxnLst/>
          <a:rect l="0" t="0" r="0" b="0"/>
          <a:pathLst>
            <a:path>
              <a:moveTo>
                <a:pt x="0" y="0"/>
              </a:moveTo>
              <a:lnTo>
                <a:pt x="0" y="1097828"/>
              </a:lnTo>
              <a:lnTo>
                <a:pt x="130488" y="1097828"/>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D6F69DBC-B0FC-4A08-AC6B-4A6F9030A7BD}">
      <dsp:nvSpPr>
        <dsp:cNvPr id="0" name=""/>
        <dsp:cNvSpPr/>
      </dsp:nvSpPr>
      <dsp:spPr>
        <a:xfrm>
          <a:off x="14170839" y="1751605"/>
          <a:ext cx="130488" cy="431624"/>
        </a:xfrm>
        <a:custGeom>
          <a:avLst/>
          <a:gdLst/>
          <a:ahLst/>
          <a:cxnLst/>
          <a:rect l="0" t="0" r="0" b="0"/>
          <a:pathLst>
            <a:path>
              <a:moveTo>
                <a:pt x="0" y="0"/>
              </a:moveTo>
              <a:lnTo>
                <a:pt x="0" y="431624"/>
              </a:lnTo>
              <a:lnTo>
                <a:pt x="130488" y="431624"/>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7009101D-659E-4AC4-B6A0-8312127BD0D5}">
      <dsp:nvSpPr>
        <dsp:cNvPr id="0" name=""/>
        <dsp:cNvSpPr/>
      </dsp:nvSpPr>
      <dsp:spPr>
        <a:xfrm>
          <a:off x="7490669" y="872732"/>
          <a:ext cx="6957528" cy="409715"/>
        </a:xfrm>
        <a:custGeom>
          <a:avLst/>
          <a:gdLst/>
          <a:ahLst/>
          <a:cxnLst/>
          <a:rect l="0" t="0" r="0" b="0"/>
          <a:pathLst>
            <a:path>
              <a:moveTo>
                <a:pt x="0" y="0"/>
              </a:moveTo>
              <a:lnTo>
                <a:pt x="0" y="311192"/>
              </a:lnTo>
              <a:lnTo>
                <a:pt x="6957528" y="311192"/>
              </a:lnTo>
              <a:lnTo>
                <a:pt x="6957528" y="409715"/>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F7AFC83A-F643-4B31-A648-492A9D843CA2}">
      <dsp:nvSpPr>
        <dsp:cNvPr id="0" name=""/>
        <dsp:cNvSpPr/>
      </dsp:nvSpPr>
      <dsp:spPr>
        <a:xfrm>
          <a:off x="12911975" y="1741541"/>
          <a:ext cx="191892" cy="1774095"/>
        </a:xfrm>
        <a:custGeom>
          <a:avLst/>
          <a:gdLst/>
          <a:ahLst/>
          <a:cxnLst/>
          <a:rect l="0" t="0" r="0" b="0"/>
          <a:pathLst>
            <a:path>
              <a:moveTo>
                <a:pt x="0" y="0"/>
              </a:moveTo>
              <a:lnTo>
                <a:pt x="0" y="1774095"/>
              </a:lnTo>
              <a:lnTo>
                <a:pt x="191892" y="1774095"/>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89695C53-1190-42FF-86CC-6209DC216241}">
      <dsp:nvSpPr>
        <dsp:cNvPr id="0" name=""/>
        <dsp:cNvSpPr/>
      </dsp:nvSpPr>
      <dsp:spPr>
        <a:xfrm>
          <a:off x="12911975" y="1741541"/>
          <a:ext cx="191892" cy="1107891"/>
        </a:xfrm>
        <a:custGeom>
          <a:avLst/>
          <a:gdLst/>
          <a:ahLst/>
          <a:cxnLst/>
          <a:rect l="0" t="0" r="0" b="0"/>
          <a:pathLst>
            <a:path>
              <a:moveTo>
                <a:pt x="0" y="0"/>
              </a:moveTo>
              <a:lnTo>
                <a:pt x="0" y="1107891"/>
              </a:lnTo>
              <a:lnTo>
                <a:pt x="191892" y="1107891"/>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6B9387C3-2537-4FE2-8085-C859547936ED}">
      <dsp:nvSpPr>
        <dsp:cNvPr id="0" name=""/>
        <dsp:cNvSpPr/>
      </dsp:nvSpPr>
      <dsp:spPr>
        <a:xfrm>
          <a:off x="12911975" y="1741541"/>
          <a:ext cx="191892" cy="441688"/>
        </a:xfrm>
        <a:custGeom>
          <a:avLst/>
          <a:gdLst/>
          <a:ahLst/>
          <a:cxnLst/>
          <a:rect l="0" t="0" r="0" b="0"/>
          <a:pathLst>
            <a:path>
              <a:moveTo>
                <a:pt x="0" y="0"/>
              </a:moveTo>
              <a:lnTo>
                <a:pt x="0" y="441688"/>
              </a:lnTo>
              <a:lnTo>
                <a:pt x="191892" y="441688"/>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6859BE2E-B830-41FF-B86E-79A6F3BD7732}">
      <dsp:nvSpPr>
        <dsp:cNvPr id="0" name=""/>
        <dsp:cNvSpPr/>
      </dsp:nvSpPr>
      <dsp:spPr>
        <a:xfrm>
          <a:off x="7490669" y="872732"/>
          <a:ext cx="5862407" cy="399651"/>
        </a:xfrm>
        <a:custGeom>
          <a:avLst/>
          <a:gdLst/>
          <a:ahLst/>
          <a:cxnLst/>
          <a:rect l="0" t="0" r="0" b="0"/>
          <a:pathLst>
            <a:path>
              <a:moveTo>
                <a:pt x="0" y="0"/>
              </a:moveTo>
              <a:lnTo>
                <a:pt x="0" y="301128"/>
              </a:lnTo>
              <a:lnTo>
                <a:pt x="5862407" y="301128"/>
              </a:lnTo>
              <a:lnTo>
                <a:pt x="5862407" y="399651"/>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9B6FEAED-F609-4ABD-9830-664C2D6F7BC4}">
      <dsp:nvSpPr>
        <dsp:cNvPr id="0" name=""/>
        <dsp:cNvSpPr/>
      </dsp:nvSpPr>
      <dsp:spPr>
        <a:xfrm>
          <a:off x="11760170" y="1741541"/>
          <a:ext cx="167226" cy="1774095"/>
        </a:xfrm>
        <a:custGeom>
          <a:avLst/>
          <a:gdLst/>
          <a:ahLst/>
          <a:cxnLst/>
          <a:rect l="0" t="0" r="0" b="0"/>
          <a:pathLst>
            <a:path>
              <a:moveTo>
                <a:pt x="0" y="0"/>
              </a:moveTo>
              <a:lnTo>
                <a:pt x="0" y="1774095"/>
              </a:lnTo>
              <a:lnTo>
                <a:pt x="167226" y="1774095"/>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0F5DED51-8461-4FB1-B14E-D45B6BB35082}">
      <dsp:nvSpPr>
        <dsp:cNvPr id="0" name=""/>
        <dsp:cNvSpPr/>
      </dsp:nvSpPr>
      <dsp:spPr>
        <a:xfrm>
          <a:off x="11760170" y="1741541"/>
          <a:ext cx="167226" cy="1107891"/>
        </a:xfrm>
        <a:custGeom>
          <a:avLst/>
          <a:gdLst/>
          <a:ahLst/>
          <a:cxnLst/>
          <a:rect l="0" t="0" r="0" b="0"/>
          <a:pathLst>
            <a:path>
              <a:moveTo>
                <a:pt x="0" y="0"/>
              </a:moveTo>
              <a:lnTo>
                <a:pt x="0" y="1107891"/>
              </a:lnTo>
              <a:lnTo>
                <a:pt x="167226" y="1107891"/>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3C4B0898-FEC4-425E-A62E-7F6211895D7C}">
      <dsp:nvSpPr>
        <dsp:cNvPr id="0" name=""/>
        <dsp:cNvSpPr/>
      </dsp:nvSpPr>
      <dsp:spPr>
        <a:xfrm>
          <a:off x="11760170" y="1741541"/>
          <a:ext cx="167226" cy="441688"/>
        </a:xfrm>
        <a:custGeom>
          <a:avLst/>
          <a:gdLst/>
          <a:ahLst/>
          <a:cxnLst/>
          <a:rect l="0" t="0" r="0" b="0"/>
          <a:pathLst>
            <a:path>
              <a:moveTo>
                <a:pt x="0" y="0"/>
              </a:moveTo>
              <a:lnTo>
                <a:pt x="0" y="441688"/>
              </a:lnTo>
              <a:lnTo>
                <a:pt x="167226" y="441688"/>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95E2F74E-F847-4663-BDD7-0A5BE67FBABA}">
      <dsp:nvSpPr>
        <dsp:cNvPr id="0" name=""/>
        <dsp:cNvSpPr/>
      </dsp:nvSpPr>
      <dsp:spPr>
        <a:xfrm>
          <a:off x="7490669" y="872732"/>
          <a:ext cx="4644826" cy="399651"/>
        </a:xfrm>
        <a:custGeom>
          <a:avLst/>
          <a:gdLst/>
          <a:ahLst/>
          <a:cxnLst/>
          <a:rect l="0" t="0" r="0" b="0"/>
          <a:pathLst>
            <a:path>
              <a:moveTo>
                <a:pt x="0" y="0"/>
              </a:moveTo>
              <a:lnTo>
                <a:pt x="0" y="301128"/>
              </a:lnTo>
              <a:lnTo>
                <a:pt x="4644826" y="301128"/>
              </a:lnTo>
              <a:lnTo>
                <a:pt x="4644826" y="399651"/>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2E30FFB8-D40D-42E9-AC77-18EF4B8DF612}">
      <dsp:nvSpPr>
        <dsp:cNvPr id="0" name=""/>
        <dsp:cNvSpPr/>
      </dsp:nvSpPr>
      <dsp:spPr>
        <a:xfrm>
          <a:off x="10651288" y="1741541"/>
          <a:ext cx="140747" cy="1774095"/>
        </a:xfrm>
        <a:custGeom>
          <a:avLst/>
          <a:gdLst/>
          <a:ahLst/>
          <a:cxnLst/>
          <a:rect l="0" t="0" r="0" b="0"/>
          <a:pathLst>
            <a:path>
              <a:moveTo>
                <a:pt x="0" y="0"/>
              </a:moveTo>
              <a:lnTo>
                <a:pt x="0" y="1774095"/>
              </a:lnTo>
              <a:lnTo>
                <a:pt x="140747" y="1774095"/>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BFBC2126-85D5-4905-9E09-CD7F082453CB}">
      <dsp:nvSpPr>
        <dsp:cNvPr id="0" name=""/>
        <dsp:cNvSpPr/>
      </dsp:nvSpPr>
      <dsp:spPr>
        <a:xfrm>
          <a:off x="10651288" y="1741541"/>
          <a:ext cx="140747" cy="1107891"/>
        </a:xfrm>
        <a:custGeom>
          <a:avLst/>
          <a:gdLst/>
          <a:ahLst/>
          <a:cxnLst/>
          <a:rect l="0" t="0" r="0" b="0"/>
          <a:pathLst>
            <a:path>
              <a:moveTo>
                <a:pt x="0" y="0"/>
              </a:moveTo>
              <a:lnTo>
                <a:pt x="0" y="1107891"/>
              </a:lnTo>
              <a:lnTo>
                <a:pt x="140747" y="1107891"/>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3CB9AA48-4DCA-4619-BFC8-64D366B147BD}">
      <dsp:nvSpPr>
        <dsp:cNvPr id="0" name=""/>
        <dsp:cNvSpPr/>
      </dsp:nvSpPr>
      <dsp:spPr>
        <a:xfrm>
          <a:off x="10651288" y="1741541"/>
          <a:ext cx="140747" cy="441688"/>
        </a:xfrm>
        <a:custGeom>
          <a:avLst/>
          <a:gdLst/>
          <a:ahLst/>
          <a:cxnLst/>
          <a:rect l="0" t="0" r="0" b="0"/>
          <a:pathLst>
            <a:path>
              <a:moveTo>
                <a:pt x="0" y="0"/>
              </a:moveTo>
              <a:lnTo>
                <a:pt x="0" y="441688"/>
              </a:lnTo>
              <a:lnTo>
                <a:pt x="140747" y="441688"/>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70257897-199B-45F9-8E97-4C591BBE7B3F}">
      <dsp:nvSpPr>
        <dsp:cNvPr id="0" name=""/>
        <dsp:cNvSpPr/>
      </dsp:nvSpPr>
      <dsp:spPr>
        <a:xfrm>
          <a:off x="7490669" y="872732"/>
          <a:ext cx="3535945" cy="399651"/>
        </a:xfrm>
        <a:custGeom>
          <a:avLst/>
          <a:gdLst/>
          <a:ahLst/>
          <a:cxnLst/>
          <a:rect l="0" t="0" r="0" b="0"/>
          <a:pathLst>
            <a:path>
              <a:moveTo>
                <a:pt x="0" y="0"/>
              </a:moveTo>
              <a:lnTo>
                <a:pt x="0" y="301128"/>
              </a:lnTo>
              <a:lnTo>
                <a:pt x="3535945" y="301128"/>
              </a:lnTo>
              <a:lnTo>
                <a:pt x="3535945" y="399651"/>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86E8989D-6C94-463D-9588-B288E8BD09F3}">
      <dsp:nvSpPr>
        <dsp:cNvPr id="0" name=""/>
        <dsp:cNvSpPr/>
      </dsp:nvSpPr>
      <dsp:spPr>
        <a:xfrm>
          <a:off x="9515927" y="1741541"/>
          <a:ext cx="140747" cy="1774095"/>
        </a:xfrm>
        <a:custGeom>
          <a:avLst/>
          <a:gdLst/>
          <a:ahLst/>
          <a:cxnLst/>
          <a:rect l="0" t="0" r="0" b="0"/>
          <a:pathLst>
            <a:path>
              <a:moveTo>
                <a:pt x="0" y="0"/>
              </a:moveTo>
              <a:lnTo>
                <a:pt x="0" y="1774095"/>
              </a:lnTo>
              <a:lnTo>
                <a:pt x="140747" y="1774095"/>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BA5F9E80-3D5F-4248-9517-86F91EE0B8E9}">
      <dsp:nvSpPr>
        <dsp:cNvPr id="0" name=""/>
        <dsp:cNvSpPr/>
      </dsp:nvSpPr>
      <dsp:spPr>
        <a:xfrm>
          <a:off x="9515927" y="1741541"/>
          <a:ext cx="140747" cy="1107891"/>
        </a:xfrm>
        <a:custGeom>
          <a:avLst/>
          <a:gdLst/>
          <a:ahLst/>
          <a:cxnLst/>
          <a:rect l="0" t="0" r="0" b="0"/>
          <a:pathLst>
            <a:path>
              <a:moveTo>
                <a:pt x="0" y="0"/>
              </a:moveTo>
              <a:lnTo>
                <a:pt x="0" y="1107891"/>
              </a:lnTo>
              <a:lnTo>
                <a:pt x="140747" y="1107891"/>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6185FE85-F6F3-47C8-BC28-BFB1B081D47E}">
      <dsp:nvSpPr>
        <dsp:cNvPr id="0" name=""/>
        <dsp:cNvSpPr/>
      </dsp:nvSpPr>
      <dsp:spPr>
        <a:xfrm>
          <a:off x="9515927" y="1741541"/>
          <a:ext cx="140747" cy="441688"/>
        </a:xfrm>
        <a:custGeom>
          <a:avLst/>
          <a:gdLst/>
          <a:ahLst/>
          <a:cxnLst/>
          <a:rect l="0" t="0" r="0" b="0"/>
          <a:pathLst>
            <a:path>
              <a:moveTo>
                <a:pt x="0" y="0"/>
              </a:moveTo>
              <a:lnTo>
                <a:pt x="0" y="441688"/>
              </a:lnTo>
              <a:lnTo>
                <a:pt x="140747" y="441688"/>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82E60BB5-7FD2-4219-AE7C-29971BDCB4BB}">
      <dsp:nvSpPr>
        <dsp:cNvPr id="0" name=""/>
        <dsp:cNvSpPr/>
      </dsp:nvSpPr>
      <dsp:spPr>
        <a:xfrm>
          <a:off x="7490669" y="872732"/>
          <a:ext cx="2400584" cy="399651"/>
        </a:xfrm>
        <a:custGeom>
          <a:avLst/>
          <a:gdLst/>
          <a:ahLst/>
          <a:cxnLst/>
          <a:rect l="0" t="0" r="0" b="0"/>
          <a:pathLst>
            <a:path>
              <a:moveTo>
                <a:pt x="0" y="0"/>
              </a:moveTo>
              <a:lnTo>
                <a:pt x="0" y="301128"/>
              </a:lnTo>
              <a:lnTo>
                <a:pt x="2400584" y="301128"/>
              </a:lnTo>
              <a:lnTo>
                <a:pt x="2400584" y="399651"/>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52777498-AA74-4FC2-849F-C626B27A45B4}">
      <dsp:nvSpPr>
        <dsp:cNvPr id="0" name=""/>
        <dsp:cNvSpPr/>
      </dsp:nvSpPr>
      <dsp:spPr>
        <a:xfrm>
          <a:off x="8311893" y="1741541"/>
          <a:ext cx="152192" cy="1774095"/>
        </a:xfrm>
        <a:custGeom>
          <a:avLst/>
          <a:gdLst/>
          <a:ahLst/>
          <a:cxnLst/>
          <a:rect l="0" t="0" r="0" b="0"/>
          <a:pathLst>
            <a:path>
              <a:moveTo>
                <a:pt x="0" y="0"/>
              </a:moveTo>
              <a:lnTo>
                <a:pt x="0" y="1774095"/>
              </a:lnTo>
              <a:lnTo>
                <a:pt x="152192" y="1774095"/>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679EAA6C-B7F9-45B1-B314-064B1497E450}">
      <dsp:nvSpPr>
        <dsp:cNvPr id="0" name=""/>
        <dsp:cNvSpPr/>
      </dsp:nvSpPr>
      <dsp:spPr>
        <a:xfrm>
          <a:off x="8311893" y="1741541"/>
          <a:ext cx="152192" cy="1107891"/>
        </a:xfrm>
        <a:custGeom>
          <a:avLst/>
          <a:gdLst/>
          <a:ahLst/>
          <a:cxnLst/>
          <a:rect l="0" t="0" r="0" b="0"/>
          <a:pathLst>
            <a:path>
              <a:moveTo>
                <a:pt x="0" y="0"/>
              </a:moveTo>
              <a:lnTo>
                <a:pt x="0" y="1107891"/>
              </a:lnTo>
              <a:lnTo>
                <a:pt x="152192" y="1107891"/>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78FA309A-083A-4C64-9477-7A3C69B2784C}">
      <dsp:nvSpPr>
        <dsp:cNvPr id="0" name=""/>
        <dsp:cNvSpPr/>
      </dsp:nvSpPr>
      <dsp:spPr>
        <a:xfrm>
          <a:off x="8311893" y="1741541"/>
          <a:ext cx="152192" cy="441688"/>
        </a:xfrm>
        <a:custGeom>
          <a:avLst/>
          <a:gdLst/>
          <a:ahLst/>
          <a:cxnLst/>
          <a:rect l="0" t="0" r="0" b="0"/>
          <a:pathLst>
            <a:path>
              <a:moveTo>
                <a:pt x="0" y="0"/>
              </a:moveTo>
              <a:lnTo>
                <a:pt x="0" y="441688"/>
              </a:lnTo>
              <a:lnTo>
                <a:pt x="152192" y="441688"/>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1CAB3E94-5855-4109-A43C-7105AD6B26D0}">
      <dsp:nvSpPr>
        <dsp:cNvPr id="0" name=""/>
        <dsp:cNvSpPr/>
      </dsp:nvSpPr>
      <dsp:spPr>
        <a:xfrm>
          <a:off x="7490669" y="872732"/>
          <a:ext cx="1227071" cy="399651"/>
        </a:xfrm>
        <a:custGeom>
          <a:avLst/>
          <a:gdLst/>
          <a:ahLst/>
          <a:cxnLst/>
          <a:rect l="0" t="0" r="0" b="0"/>
          <a:pathLst>
            <a:path>
              <a:moveTo>
                <a:pt x="0" y="0"/>
              </a:moveTo>
              <a:lnTo>
                <a:pt x="0" y="301128"/>
              </a:lnTo>
              <a:lnTo>
                <a:pt x="1227071" y="301128"/>
              </a:lnTo>
              <a:lnTo>
                <a:pt x="1227071" y="399651"/>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807FA1CB-C069-4A68-9F5B-ACB3D4C2C7E0}">
      <dsp:nvSpPr>
        <dsp:cNvPr id="0" name=""/>
        <dsp:cNvSpPr/>
      </dsp:nvSpPr>
      <dsp:spPr>
        <a:xfrm>
          <a:off x="7070418" y="1741541"/>
          <a:ext cx="157161" cy="1774095"/>
        </a:xfrm>
        <a:custGeom>
          <a:avLst/>
          <a:gdLst/>
          <a:ahLst/>
          <a:cxnLst/>
          <a:rect l="0" t="0" r="0" b="0"/>
          <a:pathLst>
            <a:path>
              <a:moveTo>
                <a:pt x="0" y="0"/>
              </a:moveTo>
              <a:lnTo>
                <a:pt x="0" y="1774095"/>
              </a:lnTo>
              <a:lnTo>
                <a:pt x="157161" y="1774095"/>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47A21D83-0961-4F83-B6CA-9111DF4BFE52}">
      <dsp:nvSpPr>
        <dsp:cNvPr id="0" name=""/>
        <dsp:cNvSpPr/>
      </dsp:nvSpPr>
      <dsp:spPr>
        <a:xfrm>
          <a:off x="7070418" y="1741541"/>
          <a:ext cx="157161" cy="1107891"/>
        </a:xfrm>
        <a:custGeom>
          <a:avLst/>
          <a:gdLst/>
          <a:ahLst/>
          <a:cxnLst/>
          <a:rect l="0" t="0" r="0" b="0"/>
          <a:pathLst>
            <a:path>
              <a:moveTo>
                <a:pt x="0" y="0"/>
              </a:moveTo>
              <a:lnTo>
                <a:pt x="0" y="1107891"/>
              </a:lnTo>
              <a:lnTo>
                <a:pt x="157161" y="1107891"/>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56484EBF-27DD-4386-A0D0-1C14F44B1EE2}">
      <dsp:nvSpPr>
        <dsp:cNvPr id="0" name=""/>
        <dsp:cNvSpPr/>
      </dsp:nvSpPr>
      <dsp:spPr>
        <a:xfrm>
          <a:off x="7070418" y="1741541"/>
          <a:ext cx="157161" cy="441688"/>
        </a:xfrm>
        <a:custGeom>
          <a:avLst/>
          <a:gdLst/>
          <a:ahLst/>
          <a:cxnLst/>
          <a:rect l="0" t="0" r="0" b="0"/>
          <a:pathLst>
            <a:path>
              <a:moveTo>
                <a:pt x="0" y="0"/>
              </a:moveTo>
              <a:lnTo>
                <a:pt x="0" y="441688"/>
              </a:lnTo>
              <a:lnTo>
                <a:pt x="157161" y="441688"/>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58BDADBE-4402-4E6F-AB6F-E215C5F98D3B}">
      <dsp:nvSpPr>
        <dsp:cNvPr id="0" name=""/>
        <dsp:cNvSpPr/>
      </dsp:nvSpPr>
      <dsp:spPr>
        <a:xfrm>
          <a:off x="7443795" y="872732"/>
          <a:ext cx="91440" cy="399651"/>
        </a:xfrm>
        <a:custGeom>
          <a:avLst/>
          <a:gdLst/>
          <a:ahLst/>
          <a:cxnLst/>
          <a:rect l="0" t="0" r="0" b="0"/>
          <a:pathLst>
            <a:path>
              <a:moveTo>
                <a:pt x="46874" y="0"/>
              </a:moveTo>
              <a:lnTo>
                <a:pt x="46874" y="301128"/>
              </a:lnTo>
              <a:lnTo>
                <a:pt x="45720" y="301128"/>
              </a:lnTo>
              <a:lnTo>
                <a:pt x="45720" y="399651"/>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DE31F5CA-37EC-464B-A0E1-9AB790904E0E}">
      <dsp:nvSpPr>
        <dsp:cNvPr id="0" name=""/>
        <dsp:cNvSpPr/>
      </dsp:nvSpPr>
      <dsp:spPr>
        <a:xfrm>
          <a:off x="5951471" y="2417808"/>
          <a:ext cx="140747" cy="1764031"/>
        </a:xfrm>
        <a:custGeom>
          <a:avLst/>
          <a:gdLst/>
          <a:ahLst/>
          <a:cxnLst/>
          <a:rect l="0" t="0" r="0" b="0"/>
          <a:pathLst>
            <a:path>
              <a:moveTo>
                <a:pt x="0" y="0"/>
              </a:moveTo>
              <a:lnTo>
                <a:pt x="0" y="1764031"/>
              </a:lnTo>
              <a:lnTo>
                <a:pt x="140747" y="1764031"/>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C3FAA0F3-7CCC-449C-A82C-F68F70EE100B}">
      <dsp:nvSpPr>
        <dsp:cNvPr id="0" name=""/>
        <dsp:cNvSpPr/>
      </dsp:nvSpPr>
      <dsp:spPr>
        <a:xfrm>
          <a:off x="5951471" y="2417808"/>
          <a:ext cx="140747" cy="1097828"/>
        </a:xfrm>
        <a:custGeom>
          <a:avLst/>
          <a:gdLst/>
          <a:ahLst/>
          <a:cxnLst/>
          <a:rect l="0" t="0" r="0" b="0"/>
          <a:pathLst>
            <a:path>
              <a:moveTo>
                <a:pt x="0" y="0"/>
              </a:moveTo>
              <a:lnTo>
                <a:pt x="0" y="1097828"/>
              </a:lnTo>
              <a:lnTo>
                <a:pt x="140747" y="1097828"/>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C53932D4-51E7-41F5-AE16-C6CBB114DFEA}">
      <dsp:nvSpPr>
        <dsp:cNvPr id="0" name=""/>
        <dsp:cNvSpPr/>
      </dsp:nvSpPr>
      <dsp:spPr>
        <a:xfrm>
          <a:off x="5951471" y="2417808"/>
          <a:ext cx="140747" cy="431624"/>
        </a:xfrm>
        <a:custGeom>
          <a:avLst/>
          <a:gdLst/>
          <a:ahLst/>
          <a:cxnLst/>
          <a:rect l="0" t="0" r="0" b="0"/>
          <a:pathLst>
            <a:path>
              <a:moveTo>
                <a:pt x="0" y="0"/>
              </a:moveTo>
              <a:lnTo>
                <a:pt x="0" y="431624"/>
              </a:lnTo>
              <a:lnTo>
                <a:pt x="140747" y="431624"/>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3A9512E9-E1C5-4380-BA7C-8E54B5E137DF}">
      <dsp:nvSpPr>
        <dsp:cNvPr id="0" name=""/>
        <dsp:cNvSpPr/>
      </dsp:nvSpPr>
      <dsp:spPr>
        <a:xfrm>
          <a:off x="5759117" y="1741541"/>
          <a:ext cx="567680" cy="207109"/>
        </a:xfrm>
        <a:custGeom>
          <a:avLst/>
          <a:gdLst/>
          <a:ahLst/>
          <a:cxnLst/>
          <a:rect l="0" t="0" r="0" b="0"/>
          <a:pathLst>
            <a:path>
              <a:moveTo>
                <a:pt x="0" y="0"/>
              </a:moveTo>
              <a:lnTo>
                <a:pt x="0" y="108586"/>
              </a:lnTo>
              <a:lnTo>
                <a:pt x="567680" y="108586"/>
              </a:lnTo>
              <a:lnTo>
                <a:pt x="567680" y="207109"/>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0E0991F3-3934-47BB-929B-D5CDA7641990}">
      <dsp:nvSpPr>
        <dsp:cNvPr id="0" name=""/>
        <dsp:cNvSpPr/>
      </dsp:nvSpPr>
      <dsp:spPr>
        <a:xfrm>
          <a:off x="4816110" y="2417808"/>
          <a:ext cx="140747" cy="1097828"/>
        </a:xfrm>
        <a:custGeom>
          <a:avLst/>
          <a:gdLst/>
          <a:ahLst/>
          <a:cxnLst/>
          <a:rect l="0" t="0" r="0" b="0"/>
          <a:pathLst>
            <a:path>
              <a:moveTo>
                <a:pt x="0" y="0"/>
              </a:moveTo>
              <a:lnTo>
                <a:pt x="0" y="1097828"/>
              </a:lnTo>
              <a:lnTo>
                <a:pt x="140747" y="1097828"/>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D7968CA6-A26B-43C5-9036-51384CB0A177}">
      <dsp:nvSpPr>
        <dsp:cNvPr id="0" name=""/>
        <dsp:cNvSpPr/>
      </dsp:nvSpPr>
      <dsp:spPr>
        <a:xfrm>
          <a:off x="4816110" y="2417808"/>
          <a:ext cx="140747" cy="431624"/>
        </a:xfrm>
        <a:custGeom>
          <a:avLst/>
          <a:gdLst/>
          <a:ahLst/>
          <a:cxnLst/>
          <a:rect l="0" t="0" r="0" b="0"/>
          <a:pathLst>
            <a:path>
              <a:moveTo>
                <a:pt x="0" y="0"/>
              </a:moveTo>
              <a:lnTo>
                <a:pt x="0" y="431624"/>
              </a:lnTo>
              <a:lnTo>
                <a:pt x="140747" y="431624"/>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6AC18233-7434-428C-A2CE-9E3AFE243EA4}">
      <dsp:nvSpPr>
        <dsp:cNvPr id="0" name=""/>
        <dsp:cNvSpPr/>
      </dsp:nvSpPr>
      <dsp:spPr>
        <a:xfrm>
          <a:off x="5191436" y="1741541"/>
          <a:ext cx="567680" cy="207109"/>
        </a:xfrm>
        <a:custGeom>
          <a:avLst/>
          <a:gdLst/>
          <a:ahLst/>
          <a:cxnLst/>
          <a:rect l="0" t="0" r="0" b="0"/>
          <a:pathLst>
            <a:path>
              <a:moveTo>
                <a:pt x="567680" y="0"/>
              </a:moveTo>
              <a:lnTo>
                <a:pt x="567680" y="108586"/>
              </a:lnTo>
              <a:lnTo>
                <a:pt x="0" y="108586"/>
              </a:lnTo>
              <a:lnTo>
                <a:pt x="0" y="207109"/>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86920179-6629-4A58-BB26-F9023C6AB676}">
      <dsp:nvSpPr>
        <dsp:cNvPr id="0" name=""/>
        <dsp:cNvSpPr/>
      </dsp:nvSpPr>
      <dsp:spPr>
        <a:xfrm>
          <a:off x="5759117" y="872732"/>
          <a:ext cx="1731551" cy="399651"/>
        </a:xfrm>
        <a:custGeom>
          <a:avLst/>
          <a:gdLst/>
          <a:ahLst/>
          <a:cxnLst/>
          <a:rect l="0" t="0" r="0" b="0"/>
          <a:pathLst>
            <a:path>
              <a:moveTo>
                <a:pt x="1731551" y="0"/>
              </a:moveTo>
              <a:lnTo>
                <a:pt x="1731551" y="301128"/>
              </a:lnTo>
              <a:lnTo>
                <a:pt x="0" y="301128"/>
              </a:lnTo>
              <a:lnTo>
                <a:pt x="0" y="399651"/>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B1F44040-471C-47E1-AA4C-3975425FBF91}">
      <dsp:nvSpPr>
        <dsp:cNvPr id="0" name=""/>
        <dsp:cNvSpPr/>
      </dsp:nvSpPr>
      <dsp:spPr>
        <a:xfrm>
          <a:off x="3680750" y="2417808"/>
          <a:ext cx="140747" cy="1097828"/>
        </a:xfrm>
        <a:custGeom>
          <a:avLst/>
          <a:gdLst/>
          <a:ahLst/>
          <a:cxnLst/>
          <a:rect l="0" t="0" r="0" b="0"/>
          <a:pathLst>
            <a:path>
              <a:moveTo>
                <a:pt x="0" y="0"/>
              </a:moveTo>
              <a:lnTo>
                <a:pt x="0" y="1097828"/>
              </a:lnTo>
              <a:lnTo>
                <a:pt x="140747" y="1097828"/>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169005B3-517D-446B-8623-5C28558CA7A7}">
      <dsp:nvSpPr>
        <dsp:cNvPr id="0" name=""/>
        <dsp:cNvSpPr/>
      </dsp:nvSpPr>
      <dsp:spPr>
        <a:xfrm>
          <a:off x="3680750" y="2417808"/>
          <a:ext cx="140747" cy="431624"/>
        </a:xfrm>
        <a:custGeom>
          <a:avLst/>
          <a:gdLst/>
          <a:ahLst/>
          <a:cxnLst/>
          <a:rect l="0" t="0" r="0" b="0"/>
          <a:pathLst>
            <a:path>
              <a:moveTo>
                <a:pt x="0" y="0"/>
              </a:moveTo>
              <a:lnTo>
                <a:pt x="0" y="431624"/>
              </a:lnTo>
              <a:lnTo>
                <a:pt x="140747" y="431624"/>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4E82E1CF-9093-4966-8BDC-BA30B6523B53}">
      <dsp:nvSpPr>
        <dsp:cNvPr id="0" name=""/>
        <dsp:cNvSpPr/>
      </dsp:nvSpPr>
      <dsp:spPr>
        <a:xfrm>
          <a:off x="3488395" y="1741541"/>
          <a:ext cx="567680" cy="207109"/>
        </a:xfrm>
        <a:custGeom>
          <a:avLst/>
          <a:gdLst/>
          <a:ahLst/>
          <a:cxnLst/>
          <a:rect l="0" t="0" r="0" b="0"/>
          <a:pathLst>
            <a:path>
              <a:moveTo>
                <a:pt x="0" y="0"/>
              </a:moveTo>
              <a:lnTo>
                <a:pt x="0" y="108586"/>
              </a:lnTo>
              <a:lnTo>
                <a:pt x="567680" y="108586"/>
              </a:lnTo>
              <a:lnTo>
                <a:pt x="567680" y="207109"/>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FB2DB3A0-B135-43F4-88C1-E9985DD92C2D}">
      <dsp:nvSpPr>
        <dsp:cNvPr id="0" name=""/>
        <dsp:cNvSpPr/>
      </dsp:nvSpPr>
      <dsp:spPr>
        <a:xfrm>
          <a:off x="2545389" y="2417808"/>
          <a:ext cx="140747" cy="1097828"/>
        </a:xfrm>
        <a:custGeom>
          <a:avLst/>
          <a:gdLst/>
          <a:ahLst/>
          <a:cxnLst/>
          <a:rect l="0" t="0" r="0" b="0"/>
          <a:pathLst>
            <a:path>
              <a:moveTo>
                <a:pt x="0" y="0"/>
              </a:moveTo>
              <a:lnTo>
                <a:pt x="0" y="1097828"/>
              </a:lnTo>
              <a:lnTo>
                <a:pt x="140747" y="1097828"/>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551EDF52-9700-4415-9C5E-2D5BBD97710A}">
      <dsp:nvSpPr>
        <dsp:cNvPr id="0" name=""/>
        <dsp:cNvSpPr/>
      </dsp:nvSpPr>
      <dsp:spPr>
        <a:xfrm>
          <a:off x="2545389" y="2417808"/>
          <a:ext cx="140747" cy="431624"/>
        </a:xfrm>
        <a:custGeom>
          <a:avLst/>
          <a:gdLst/>
          <a:ahLst/>
          <a:cxnLst/>
          <a:rect l="0" t="0" r="0" b="0"/>
          <a:pathLst>
            <a:path>
              <a:moveTo>
                <a:pt x="0" y="0"/>
              </a:moveTo>
              <a:lnTo>
                <a:pt x="0" y="431624"/>
              </a:lnTo>
              <a:lnTo>
                <a:pt x="140747" y="431624"/>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1BDCF5C3-4938-4F7B-B883-DFE0EA2513F2}">
      <dsp:nvSpPr>
        <dsp:cNvPr id="0" name=""/>
        <dsp:cNvSpPr/>
      </dsp:nvSpPr>
      <dsp:spPr>
        <a:xfrm>
          <a:off x="2920715" y="1741541"/>
          <a:ext cx="567680" cy="207109"/>
        </a:xfrm>
        <a:custGeom>
          <a:avLst/>
          <a:gdLst/>
          <a:ahLst/>
          <a:cxnLst/>
          <a:rect l="0" t="0" r="0" b="0"/>
          <a:pathLst>
            <a:path>
              <a:moveTo>
                <a:pt x="567680" y="0"/>
              </a:moveTo>
              <a:lnTo>
                <a:pt x="567680" y="108586"/>
              </a:lnTo>
              <a:lnTo>
                <a:pt x="0" y="108586"/>
              </a:lnTo>
              <a:lnTo>
                <a:pt x="0" y="207109"/>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146AE877-ED15-459B-B13B-AF077FBB1040}">
      <dsp:nvSpPr>
        <dsp:cNvPr id="0" name=""/>
        <dsp:cNvSpPr/>
      </dsp:nvSpPr>
      <dsp:spPr>
        <a:xfrm>
          <a:off x="3488395" y="872732"/>
          <a:ext cx="4002273" cy="399651"/>
        </a:xfrm>
        <a:custGeom>
          <a:avLst/>
          <a:gdLst/>
          <a:ahLst/>
          <a:cxnLst/>
          <a:rect l="0" t="0" r="0" b="0"/>
          <a:pathLst>
            <a:path>
              <a:moveTo>
                <a:pt x="4002273" y="0"/>
              </a:moveTo>
              <a:lnTo>
                <a:pt x="4002273" y="301128"/>
              </a:lnTo>
              <a:lnTo>
                <a:pt x="0" y="301128"/>
              </a:lnTo>
              <a:lnTo>
                <a:pt x="0" y="399651"/>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8361F233-B12E-43F6-BC39-A98D94AE39A7}">
      <dsp:nvSpPr>
        <dsp:cNvPr id="0" name=""/>
        <dsp:cNvSpPr/>
      </dsp:nvSpPr>
      <dsp:spPr>
        <a:xfrm>
          <a:off x="1410028" y="3084012"/>
          <a:ext cx="140747" cy="3096438"/>
        </a:xfrm>
        <a:custGeom>
          <a:avLst/>
          <a:gdLst/>
          <a:ahLst/>
          <a:cxnLst/>
          <a:rect l="0" t="0" r="0" b="0"/>
          <a:pathLst>
            <a:path>
              <a:moveTo>
                <a:pt x="0" y="0"/>
              </a:moveTo>
              <a:lnTo>
                <a:pt x="0" y="3096438"/>
              </a:lnTo>
              <a:lnTo>
                <a:pt x="140747" y="3096438"/>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B894DCF4-CFDB-4655-8C23-F6D06D7FB345}">
      <dsp:nvSpPr>
        <dsp:cNvPr id="0" name=""/>
        <dsp:cNvSpPr/>
      </dsp:nvSpPr>
      <dsp:spPr>
        <a:xfrm>
          <a:off x="1410028" y="3084012"/>
          <a:ext cx="140747" cy="2430235"/>
        </a:xfrm>
        <a:custGeom>
          <a:avLst/>
          <a:gdLst/>
          <a:ahLst/>
          <a:cxnLst/>
          <a:rect l="0" t="0" r="0" b="0"/>
          <a:pathLst>
            <a:path>
              <a:moveTo>
                <a:pt x="0" y="0"/>
              </a:moveTo>
              <a:lnTo>
                <a:pt x="0" y="2430235"/>
              </a:lnTo>
              <a:lnTo>
                <a:pt x="140747" y="2430235"/>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B03BF5AB-02EB-4D85-9282-46894415A7C4}">
      <dsp:nvSpPr>
        <dsp:cNvPr id="0" name=""/>
        <dsp:cNvSpPr/>
      </dsp:nvSpPr>
      <dsp:spPr>
        <a:xfrm>
          <a:off x="1410028" y="3084012"/>
          <a:ext cx="140747" cy="1764031"/>
        </a:xfrm>
        <a:custGeom>
          <a:avLst/>
          <a:gdLst/>
          <a:ahLst/>
          <a:cxnLst/>
          <a:rect l="0" t="0" r="0" b="0"/>
          <a:pathLst>
            <a:path>
              <a:moveTo>
                <a:pt x="0" y="0"/>
              </a:moveTo>
              <a:lnTo>
                <a:pt x="0" y="1764031"/>
              </a:lnTo>
              <a:lnTo>
                <a:pt x="140747" y="1764031"/>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2BE8EFB2-4965-4609-B1C2-1F507D9025F0}">
      <dsp:nvSpPr>
        <dsp:cNvPr id="0" name=""/>
        <dsp:cNvSpPr/>
      </dsp:nvSpPr>
      <dsp:spPr>
        <a:xfrm>
          <a:off x="1410028" y="3084012"/>
          <a:ext cx="140747" cy="1097828"/>
        </a:xfrm>
        <a:custGeom>
          <a:avLst/>
          <a:gdLst/>
          <a:ahLst/>
          <a:cxnLst/>
          <a:rect l="0" t="0" r="0" b="0"/>
          <a:pathLst>
            <a:path>
              <a:moveTo>
                <a:pt x="0" y="0"/>
              </a:moveTo>
              <a:lnTo>
                <a:pt x="0" y="1097828"/>
              </a:lnTo>
              <a:lnTo>
                <a:pt x="140747" y="1097828"/>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6E904246-481F-4578-AD91-764D29E6D564}">
      <dsp:nvSpPr>
        <dsp:cNvPr id="0" name=""/>
        <dsp:cNvSpPr/>
      </dsp:nvSpPr>
      <dsp:spPr>
        <a:xfrm>
          <a:off x="1410028" y="3084012"/>
          <a:ext cx="140747" cy="431624"/>
        </a:xfrm>
        <a:custGeom>
          <a:avLst/>
          <a:gdLst/>
          <a:ahLst/>
          <a:cxnLst/>
          <a:rect l="0" t="0" r="0" b="0"/>
          <a:pathLst>
            <a:path>
              <a:moveTo>
                <a:pt x="0" y="0"/>
              </a:moveTo>
              <a:lnTo>
                <a:pt x="0" y="431624"/>
              </a:lnTo>
              <a:lnTo>
                <a:pt x="140747" y="431624"/>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AAF5925E-A439-4734-BFA7-0209F1E034E0}">
      <dsp:nvSpPr>
        <dsp:cNvPr id="0" name=""/>
        <dsp:cNvSpPr/>
      </dsp:nvSpPr>
      <dsp:spPr>
        <a:xfrm>
          <a:off x="1739634" y="2417808"/>
          <a:ext cx="91440" cy="197046"/>
        </a:xfrm>
        <a:custGeom>
          <a:avLst/>
          <a:gdLst/>
          <a:ahLst/>
          <a:cxnLst/>
          <a:rect l="0" t="0" r="0" b="0"/>
          <a:pathLst>
            <a:path>
              <a:moveTo>
                <a:pt x="45720" y="0"/>
              </a:moveTo>
              <a:lnTo>
                <a:pt x="45720" y="197046"/>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B935FBDA-E2AB-49CA-8CF4-754257839CD4}">
      <dsp:nvSpPr>
        <dsp:cNvPr id="0" name=""/>
        <dsp:cNvSpPr/>
      </dsp:nvSpPr>
      <dsp:spPr>
        <a:xfrm>
          <a:off x="1739634" y="1741541"/>
          <a:ext cx="91440" cy="207109"/>
        </a:xfrm>
        <a:custGeom>
          <a:avLst/>
          <a:gdLst/>
          <a:ahLst/>
          <a:cxnLst/>
          <a:rect l="0" t="0" r="0" b="0"/>
          <a:pathLst>
            <a:path>
              <a:moveTo>
                <a:pt x="45720" y="0"/>
              </a:moveTo>
              <a:lnTo>
                <a:pt x="45720" y="207109"/>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3CD38DC8-3D55-42DE-AD09-72BD953ED7FB}">
      <dsp:nvSpPr>
        <dsp:cNvPr id="0" name=""/>
        <dsp:cNvSpPr/>
      </dsp:nvSpPr>
      <dsp:spPr>
        <a:xfrm>
          <a:off x="1785354" y="872732"/>
          <a:ext cx="5705314" cy="399651"/>
        </a:xfrm>
        <a:custGeom>
          <a:avLst/>
          <a:gdLst/>
          <a:ahLst/>
          <a:cxnLst/>
          <a:rect l="0" t="0" r="0" b="0"/>
          <a:pathLst>
            <a:path>
              <a:moveTo>
                <a:pt x="5705314" y="0"/>
              </a:moveTo>
              <a:lnTo>
                <a:pt x="5705314" y="301128"/>
              </a:lnTo>
              <a:lnTo>
                <a:pt x="0" y="301128"/>
              </a:lnTo>
              <a:lnTo>
                <a:pt x="0" y="399651"/>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A210511E-8313-4F28-990A-429088BA3B3F}">
      <dsp:nvSpPr>
        <dsp:cNvPr id="0" name=""/>
        <dsp:cNvSpPr/>
      </dsp:nvSpPr>
      <dsp:spPr>
        <a:xfrm>
          <a:off x="72192" y="1751605"/>
          <a:ext cx="108643" cy="1764031"/>
        </a:xfrm>
        <a:custGeom>
          <a:avLst/>
          <a:gdLst/>
          <a:ahLst/>
          <a:cxnLst/>
          <a:rect l="0" t="0" r="0" b="0"/>
          <a:pathLst>
            <a:path>
              <a:moveTo>
                <a:pt x="0" y="0"/>
              </a:moveTo>
              <a:lnTo>
                <a:pt x="0" y="1764031"/>
              </a:lnTo>
              <a:lnTo>
                <a:pt x="108643" y="1764031"/>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7BD786B8-780D-4619-A5E3-357F0EDAE2E4}">
      <dsp:nvSpPr>
        <dsp:cNvPr id="0" name=""/>
        <dsp:cNvSpPr/>
      </dsp:nvSpPr>
      <dsp:spPr>
        <a:xfrm>
          <a:off x="72192" y="1751605"/>
          <a:ext cx="108643" cy="1097828"/>
        </a:xfrm>
        <a:custGeom>
          <a:avLst/>
          <a:gdLst/>
          <a:ahLst/>
          <a:cxnLst/>
          <a:rect l="0" t="0" r="0" b="0"/>
          <a:pathLst>
            <a:path>
              <a:moveTo>
                <a:pt x="0" y="0"/>
              </a:moveTo>
              <a:lnTo>
                <a:pt x="0" y="1097828"/>
              </a:lnTo>
              <a:lnTo>
                <a:pt x="108643" y="1097828"/>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0DBA4C10-E38C-4A57-BDCF-A02983AC86EA}">
      <dsp:nvSpPr>
        <dsp:cNvPr id="0" name=""/>
        <dsp:cNvSpPr/>
      </dsp:nvSpPr>
      <dsp:spPr>
        <a:xfrm>
          <a:off x="72192" y="1751605"/>
          <a:ext cx="108643" cy="431624"/>
        </a:xfrm>
        <a:custGeom>
          <a:avLst/>
          <a:gdLst/>
          <a:ahLst/>
          <a:cxnLst/>
          <a:rect l="0" t="0" r="0" b="0"/>
          <a:pathLst>
            <a:path>
              <a:moveTo>
                <a:pt x="0" y="0"/>
              </a:moveTo>
              <a:lnTo>
                <a:pt x="0" y="431624"/>
              </a:lnTo>
              <a:lnTo>
                <a:pt x="108643" y="431624"/>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7BA6A4CA-F40E-4826-9E97-95062F5DD647}">
      <dsp:nvSpPr>
        <dsp:cNvPr id="0" name=""/>
        <dsp:cNvSpPr/>
      </dsp:nvSpPr>
      <dsp:spPr>
        <a:xfrm>
          <a:off x="360960" y="872732"/>
          <a:ext cx="7129708" cy="409715"/>
        </a:xfrm>
        <a:custGeom>
          <a:avLst/>
          <a:gdLst/>
          <a:ahLst/>
          <a:cxnLst/>
          <a:rect l="0" t="0" r="0" b="0"/>
          <a:pathLst>
            <a:path>
              <a:moveTo>
                <a:pt x="7129708" y="0"/>
              </a:moveTo>
              <a:lnTo>
                <a:pt x="7129708" y="311192"/>
              </a:lnTo>
              <a:lnTo>
                <a:pt x="0" y="311192"/>
              </a:lnTo>
              <a:lnTo>
                <a:pt x="0" y="409715"/>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2D883808-430E-40D8-8B07-302E85302A34}">
      <dsp:nvSpPr>
        <dsp:cNvPr id="0" name=""/>
        <dsp:cNvSpPr/>
      </dsp:nvSpPr>
      <dsp:spPr>
        <a:xfrm>
          <a:off x="6786173" y="268401"/>
          <a:ext cx="1408992" cy="604331"/>
        </a:xfrm>
        <a:prstGeom prst="rect">
          <a:avLst/>
        </a:prstGeom>
        <a:solidFill>
          <a:schemeClr val="tx2"/>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endParaRPr lang="pt-BR" sz="1050" b="1" kern="1200"/>
        </a:p>
      </dsp:txBody>
      <dsp:txXfrm>
        <a:off x="6786173" y="268401"/>
        <a:ext cx="1408992" cy="604331"/>
      </dsp:txXfrm>
    </dsp:sp>
    <dsp:sp modelId="{4C9AEEA8-806B-4221-A8CF-497F84C39D63}">
      <dsp:nvSpPr>
        <dsp:cNvPr id="0" name=""/>
        <dsp:cNvSpPr/>
      </dsp:nvSpPr>
      <dsp:spPr>
        <a:xfrm>
          <a:off x="0" y="1282447"/>
          <a:ext cx="721920" cy="469157"/>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pt-BR" sz="1000" b="1" kern="1200"/>
            <a:t>INÍCIO</a:t>
          </a:r>
        </a:p>
      </dsp:txBody>
      <dsp:txXfrm>
        <a:off x="0" y="1282447"/>
        <a:ext cx="721920" cy="469157"/>
      </dsp:txXfrm>
    </dsp:sp>
    <dsp:sp modelId="{9E9FE827-52A4-46D9-ADB2-E6FCF0B9E008}">
      <dsp:nvSpPr>
        <dsp:cNvPr id="0" name=""/>
        <dsp:cNvSpPr/>
      </dsp:nvSpPr>
      <dsp:spPr>
        <a:xfrm>
          <a:off x="180836" y="1948651"/>
          <a:ext cx="938314" cy="4691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OBJETIVOS E METAS DO APP</a:t>
          </a:r>
        </a:p>
      </dsp:txBody>
      <dsp:txXfrm>
        <a:off x="180836" y="1948651"/>
        <a:ext cx="938314" cy="469157"/>
      </dsp:txXfrm>
    </dsp:sp>
    <dsp:sp modelId="{CF1CE0D6-2000-45B7-B412-882350AF6F25}">
      <dsp:nvSpPr>
        <dsp:cNvPr id="0" name=""/>
        <dsp:cNvSpPr/>
      </dsp:nvSpPr>
      <dsp:spPr>
        <a:xfrm>
          <a:off x="180836" y="2614854"/>
          <a:ext cx="938314" cy="4691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DIRECIONAMENTO DE EQUIPES DE DESENVOLVIMENTO E DESIGN</a:t>
          </a:r>
        </a:p>
      </dsp:txBody>
      <dsp:txXfrm>
        <a:off x="180836" y="2614854"/>
        <a:ext cx="938314" cy="469157"/>
      </dsp:txXfrm>
    </dsp:sp>
    <dsp:sp modelId="{422A5DCC-F310-4179-AC5C-3A5AA9AB3509}">
      <dsp:nvSpPr>
        <dsp:cNvPr id="0" name=""/>
        <dsp:cNvSpPr/>
      </dsp:nvSpPr>
      <dsp:spPr>
        <a:xfrm>
          <a:off x="180836" y="3281058"/>
          <a:ext cx="938314" cy="4691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IDENTIFICAÇÃO DE RECURSOS E FUNÇÕES</a:t>
          </a:r>
        </a:p>
      </dsp:txBody>
      <dsp:txXfrm>
        <a:off x="180836" y="3281058"/>
        <a:ext cx="938314" cy="469157"/>
      </dsp:txXfrm>
    </dsp:sp>
    <dsp:sp modelId="{D170E32D-A43F-4CAB-A215-C289F970862B}">
      <dsp:nvSpPr>
        <dsp:cNvPr id="0" name=""/>
        <dsp:cNvSpPr/>
      </dsp:nvSpPr>
      <dsp:spPr>
        <a:xfrm>
          <a:off x="1314127" y="1272384"/>
          <a:ext cx="942452" cy="469157"/>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715" tIns="5715" rIns="5715" bIns="5715" numCol="1" spcCol="1270" anchor="ctr" anchorCtr="0">
          <a:noAutofit/>
        </a:bodyPr>
        <a:lstStyle/>
        <a:p>
          <a:pPr marL="0" lvl="0" indent="0" algn="ctr" defTabSz="400050">
            <a:lnSpc>
              <a:spcPct val="90000"/>
            </a:lnSpc>
            <a:spcBef>
              <a:spcPct val="0"/>
            </a:spcBef>
            <a:spcAft>
              <a:spcPct val="35000"/>
            </a:spcAft>
            <a:buNone/>
          </a:pPr>
          <a:r>
            <a:rPr lang="pt-BR" sz="900" b="1" kern="1200"/>
            <a:t>PLANEJAMENTO</a:t>
          </a:r>
        </a:p>
      </dsp:txBody>
      <dsp:txXfrm>
        <a:off x="1314127" y="1272384"/>
        <a:ext cx="942452" cy="469157"/>
      </dsp:txXfrm>
    </dsp:sp>
    <dsp:sp modelId="{8D28DA9C-651E-493C-AEB4-8DE7C4670A76}">
      <dsp:nvSpPr>
        <dsp:cNvPr id="0" name=""/>
        <dsp:cNvSpPr/>
      </dsp:nvSpPr>
      <dsp:spPr>
        <a:xfrm>
          <a:off x="1316196" y="1948651"/>
          <a:ext cx="938314" cy="4691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ANÁLISE DE ESTRUTURA DE MERCADO</a:t>
          </a:r>
        </a:p>
      </dsp:txBody>
      <dsp:txXfrm>
        <a:off x="1316196" y="1948651"/>
        <a:ext cx="938314" cy="469157"/>
      </dsp:txXfrm>
    </dsp:sp>
    <dsp:sp modelId="{72AC346F-2F4E-444E-8C03-BD2A3B5A48DE}">
      <dsp:nvSpPr>
        <dsp:cNvPr id="0" name=""/>
        <dsp:cNvSpPr/>
      </dsp:nvSpPr>
      <dsp:spPr>
        <a:xfrm>
          <a:off x="1316196" y="2614854"/>
          <a:ext cx="938314" cy="4691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DETALHAMENTO DE REQUISITOS</a:t>
          </a:r>
        </a:p>
      </dsp:txBody>
      <dsp:txXfrm>
        <a:off x="1316196" y="2614854"/>
        <a:ext cx="938314" cy="469157"/>
      </dsp:txXfrm>
    </dsp:sp>
    <dsp:sp modelId="{3C105CD6-BA5F-4296-9ADF-C21FEB294665}">
      <dsp:nvSpPr>
        <dsp:cNvPr id="0" name=""/>
        <dsp:cNvSpPr/>
      </dsp:nvSpPr>
      <dsp:spPr>
        <a:xfrm>
          <a:off x="1550775" y="3281058"/>
          <a:ext cx="938314" cy="4691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RELATORIOS DE RENDIEMNTO DE ESTABELECIMENTOS</a:t>
          </a:r>
        </a:p>
      </dsp:txBody>
      <dsp:txXfrm>
        <a:off x="1550775" y="3281058"/>
        <a:ext cx="938314" cy="469157"/>
      </dsp:txXfrm>
    </dsp:sp>
    <dsp:sp modelId="{539C43EC-88FB-4101-BFC8-2FBEBDCB1CFF}">
      <dsp:nvSpPr>
        <dsp:cNvPr id="0" name=""/>
        <dsp:cNvSpPr/>
      </dsp:nvSpPr>
      <dsp:spPr>
        <a:xfrm>
          <a:off x="1550775" y="3947261"/>
          <a:ext cx="938314" cy="4691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b="0" kern="1200"/>
            <a:t>DICAS</a:t>
          </a:r>
          <a:r>
            <a:rPr lang="pt-BR" sz="800" b="0" kern="1200" baseline="0"/>
            <a:t> DE APRIMORAMENTO DE VENDAS</a:t>
          </a:r>
          <a:endParaRPr lang="pt-BR" sz="800" b="0" kern="1200"/>
        </a:p>
      </dsp:txBody>
      <dsp:txXfrm>
        <a:off x="1550775" y="3947261"/>
        <a:ext cx="938314" cy="469157"/>
      </dsp:txXfrm>
    </dsp:sp>
    <dsp:sp modelId="{042C9D99-30E8-4921-9EB9-EBE3CC59CEFA}">
      <dsp:nvSpPr>
        <dsp:cNvPr id="0" name=""/>
        <dsp:cNvSpPr/>
      </dsp:nvSpPr>
      <dsp:spPr>
        <a:xfrm>
          <a:off x="1550775" y="4613465"/>
          <a:ext cx="938314" cy="4691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MAPAS LOCAIS DE RESTAURANTES</a:t>
          </a:r>
        </a:p>
      </dsp:txBody>
      <dsp:txXfrm>
        <a:off x="1550775" y="4613465"/>
        <a:ext cx="938314" cy="469157"/>
      </dsp:txXfrm>
    </dsp:sp>
    <dsp:sp modelId="{D7E2BE4B-D731-4C2D-BA0A-37C902784000}">
      <dsp:nvSpPr>
        <dsp:cNvPr id="0" name=""/>
        <dsp:cNvSpPr/>
      </dsp:nvSpPr>
      <dsp:spPr>
        <a:xfrm>
          <a:off x="1550775" y="5279668"/>
          <a:ext cx="938314" cy="4691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INTEGRAÇÃO COM SISTEMAS DE MONITORAMENTO </a:t>
          </a:r>
        </a:p>
      </dsp:txBody>
      <dsp:txXfrm>
        <a:off x="1550775" y="5279668"/>
        <a:ext cx="938314" cy="469157"/>
      </dsp:txXfrm>
    </dsp:sp>
    <dsp:sp modelId="{85AD923B-4E2C-411D-9E05-6D278E6E3C31}">
      <dsp:nvSpPr>
        <dsp:cNvPr id="0" name=""/>
        <dsp:cNvSpPr/>
      </dsp:nvSpPr>
      <dsp:spPr>
        <a:xfrm>
          <a:off x="1550775" y="5945872"/>
          <a:ext cx="938314" cy="4691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CRIAÇÃO DE CRONOGRAMAS E METAS</a:t>
          </a:r>
        </a:p>
      </dsp:txBody>
      <dsp:txXfrm>
        <a:off x="1550775" y="5945872"/>
        <a:ext cx="938314" cy="469157"/>
      </dsp:txXfrm>
    </dsp:sp>
    <dsp:sp modelId="{5368EF9E-E26F-497A-B704-8C2CE5D835FD}">
      <dsp:nvSpPr>
        <dsp:cNvPr id="0" name=""/>
        <dsp:cNvSpPr/>
      </dsp:nvSpPr>
      <dsp:spPr>
        <a:xfrm>
          <a:off x="3019238" y="1272384"/>
          <a:ext cx="938314" cy="469157"/>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b="1" kern="1200"/>
            <a:t>DESIGN</a:t>
          </a:r>
        </a:p>
        <a:p>
          <a:pPr marL="0" lvl="0" indent="0" algn="ctr" defTabSz="355600">
            <a:lnSpc>
              <a:spcPct val="90000"/>
            </a:lnSpc>
            <a:spcBef>
              <a:spcPct val="0"/>
            </a:spcBef>
            <a:spcAft>
              <a:spcPct val="35000"/>
            </a:spcAft>
            <a:buNone/>
          </a:pPr>
          <a:r>
            <a:rPr lang="pt-BR" sz="800" b="1" kern="1200"/>
            <a:t>PROTOTIPAGEM</a:t>
          </a:r>
        </a:p>
      </dsp:txBody>
      <dsp:txXfrm>
        <a:off x="3019238" y="1272384"/>
        <a:ext cx="938314" cy="469157"/>
      </dsp:txXfrm>
    </dsp:sp>
    <dsp:sp modelId="{3CB81659-FE3C-423B-9CBD-B42FC5FE3EA0}">
      <dsp:nvSpPr>
        <dsp:cNvPr id="0" name=""/>
        <dsp:cNvSpPr/>
      </dsp:nvSpPr>
      <dsp:spPr>
        <a:xfrm>
          <a:off x="2451557" y="1948651"/>
          <a:ext cx="938314" cy="4691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DESIGN UI </a:t>
          </a:r>
        </a:p>
      </dsp:txBody>
      <dsp:txXfrm>
        <a:off x="2451557" y="1948651"/>
        <a:ext cx="938314" cy="469157"/>
      </dsp:txXfrm>
    </dsp:sp>
    <dsp:sp modelId="{07D3882F-C235-4ADF-85FA-E879C777A8BD}">
      <dsp:nvSpPr>
        <dsp:cNvPr id="0" name=""/>
        <dsp:cNvSpPr/>
      </dsp:nvSpPr>
      <dsp:spPr>
        <a:xfrm>
          <a:off x="2686136" y="2614854"/>
          <a:ext cx="938314" cy="4691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NAVEGAÇÃO E FUNCIONALIDADES</a:t>
          </a:r>
        </a:p>
      </dsp:txBody>
      <dsp:txXfrm>
        <a:off x="2686136" y="2614854"/>
        <a:ext cx="938314" cy="469157"/>
      </dsp:txXfrm>
    </dsp:sp>
    <dsp:sp modelId="{D7DDDDF0-F44F-4B11-B08B-89295DEA0D9B}">
      <dsp:nvSpPr>
        <dsp:cNvPr id="0" name=""/>
        <dsp:cNvSpPr/>
      </dsp:nvSpPr>
      <dsp:spPr>
        <a:xfrm>
          <a:off x="2686136" y="3281058"/>
          <a:ext cx="938314" cy="4691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PROTÓTIPOS INTERATIVOS</a:t>
          </a:r>
        </a:p>
      </dsp:txBody>
      <dsp:txXfrm>
        <a:off x="2686136" y="3281058"/>
        <a:ext cx="938314" cy="469157"/>
      </dsp:txXfrm>
    </dsp:sp>
    <dsp:sp modelId="{12FDCBF9-3BED-482D-906E-5A09DB8EAF1F}">
      <dsp:nvSpPr>
        <dsp:cNvPr id="0" name=""/>
        <dsp:cNvSpPr/>
      </dsp:nvSpPr>
      <dsp:spPr>
        <a:xfrm>
          <a:off x="3586918" y="1948651"/>
          <a:ext cx="938314" cy="4691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DESIGN UX</a:t>
          </a:r>
        </a:p>
      </dsp:txBody>
      <dsp:txXfrm>
        <a:off x="3586918" y="1948651"/>
        <a:ext cx="938314" cy="469157"/>
      </dsp:txXfrm>
    </dsp:sp>
    <dsp:sp modelId="{1E535ECD-9FA0-4E48-A66D-29FFB2AB3B70}">
      <dsp:nvSpPr>
        <dsp:cNvPr id="0" name=""/>
        <dsp:cNvSpPr/>
      </dsp:nvSpPr>
      <dsp:spPr>
        <a:xfrm>
          <a:off x="3821497" y="2614854"/>
          <a:ext cx="938314" cy="4691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INTERFACE LIMPA E INTUITIVA</a:t>
          </a:r>
        </a:p>
      </dsp:txBody>
      <dsp:txXfrm>
        <a:off x="3821497" y="2614854"/>
        <a:ext cx="938314" cy="469157"/>
      </dsp:txXfrm>
    </dsp:sp>
    <dsp:sp modelId="{0A7F2A46-750F-45A2-923B-D1292802EFDC}">
      <dsp:nvSpPr>
        <dsp:cNvPr id="0" name=""/>
        <dsp:cNvSpPr/>
      </dsp:nvSpPr>
      <dsp:spPr>
        <a:xfrm>
          <a:off x="3821497" y="3281058"/>
          <a:ext cx="938314" cy="4691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TESTAR A UI/UX</a:t>
          </a:r>
        </a:p>
      </dsp:txBody>
      <dsp:txXfrm>
        <a:off x="3821497" y="3281058"/>
        <a:ext cx="938314" cy="469157"/>
      </dsp:txXfrm>
    </dsp:sp>
    <dsp:sp modelId="{34D49AA9-33AD-4664-ADD5-58DB46EB9889}">
      <dsp:nvSpPr>
        <dsp:cNvPr id="0" name=""/>
        <dsp:cNvSpPr/>
      </dsp:nvSpPr>
      <dsp:spPr>
        <a:xfrm>
          <a:off x="5177990" y="1272384"/>
          <a:ext cx="1162252" cy="469157"/>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715" tIns="5715" rIns="5715" bIns="5715" numCol="1" spcCol="1270" anchor="ctr" anchorCtr="0">
          <a:noAutofit/>
        </a:bodyPr>
        <a:lstStyle/>
        <a:p>
          <a:pPr marL="0" lvl="0" indent="0" algn="ctr" defTabSz="400050">
            <a:lnSpc>
              <a:spcPct val="90000"/>
            </a:lnSpc>
            <a:spcBef>
              <a:spcPct val="0"/>
            </a:spcBef>
            <a:spcAft>
              <a:spcPct val="35000"/>
            </a:spcAft>
            <a:buNone/>
          </a:pPr>
          <a:r>
            <a:rPr lang="pt-BR" sz="900" b="1" kern="1200"/>
            <a:t>DESENVOLVIMENTO</a:t>
          </a:r>
        </a:p>
      </dsp:txBody>
      <dsp:txXfrm>
        <a:off x="5177990" y="1272384"/>
        <a:ext cx="1162252" cy="469157"/>
      </dsp:txXfrm>
    </dsp:sp>
    <dsp:sp modelId="{DA2E93DC-BB1D-4564-889B-BA004AC786E0}">
      <dsp:nvSpPr>
        <dsp:cNvPr id="0" name=""/>
        <dsp:cNvSpPr/>
      </dsp:nvSpPr>
      <dsp:spPr>
        <a:xfrm>
          <a:off x="4722279" y="1948651"/>
          <a:ext cx="938314" cy="4691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DEFINIR A ESTRUTURA DO SITE</a:t>
          </a:r>
        </a:p>
      </dsp:txBody>
      <dsp:txXfrm>
        <a:off x="4722279" y="1948651"/>
        <a:ext cx="938314" cy="469157"/>
      </dsp:txXfrm>
    </dsp:sp>
    <dsp:sp modelId="{47D7B08E-C006-4337-AFA5-B2B6AB5330E7}">
      <dsp:nvSpPr>
        <dsp:cNvPr id="0" name=""/>
        <dsp:cNvSpPr/>
      </dsp:nvSpPr>
      <dsp:spPr>
        <a:xfrm>
          <a:off x="4956858" y="2614854"/>
          <a:ext cx="938314" cy="4691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CÓDIGO FRONT-END</a:t>
          </a:r>
        </a:p>
      </dsp:txBody>
      <dsp:txXfrm>
        <a:off x="4956858" y="2614854"/>
        <a:ext cx="938314" cy="469157"/>
      </dsp:txXfrm>
    </dsp:sp>
    <dsp:sp modelId="{43E1BAD0-C612-479E-A76D-9ADDAE663A0D}">
      <dsp:nvSpPr>
        <dsp:cNvPr id="0" name=""/>
        <dsp:cNvSpPr/>
      </dsp:nvSpPr>
      <dsp:spPr>
        <a:xfrm>
          <a:off x="4956858" y="3281058"/>
          <a:ext cx="938314" cy="4691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CÓDIGO BACK-END</a:t>
          </a:r>
        </a:p>
      </dsp:txBody>
      <dsp:txXfrm>
        <a:off x="4956858" y="3281058"/>
        <a:ext cx="938314" cy="469157"/>
      </dsp:txXfrm>
    </dsp:sp>
    <dsp:sp modelId="{4CB3CC10-420D-4678-B4A5-F650FAA65CFC}">
      <dsp:nvSpPr>
        <dsp:cNvPr id="0" name=""/>
        <dsp:cNvSpPr/>
      </dsp:nvSpPr>
      <dsp:spPr>
        <a:xfrm>
          <a:off x="5857640" y="1948651"/>
          <a:ext cx="938314" cy="4691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DESENVOLVER PRINCIPAIS MÓDULOS</a:t>
          </a:r>
        </a:p>
      </dsp:txBody>
      <dsp:txXfrm>
        <a:off x="5857640" y="1948651"/>
        <a:ext cx="938314" cy="469157"/>
      </dsp:txXfrm>
    </dsp:sp>
    <dsp:sp modelId="{4AD3C1C4-D9EA-4B51-B2F8-F5F336E1219A}">
      <dsp:nvSpPr>
        <dsp:cNvPr id="0" name=""/>
        <dsp:cNvSpPr/>
      </dsp:nvSpPr>
      <dsp:spPr>
        <a:xfrm>
          <a:off x="6092218" y="2614854"/>
          <a:ext cx="938314" cy="4691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MÓDULO DE INDICAÇÃO DE RESTAURANTES</a:t>
          </a:r>
        </a:p>
      </dsp:txBody>
      <dsp:txXfrm>
        <a:off x="6092218" y="2614854"/>
        <a:ext cx="938314" cy="469157"/>
      </dsp:txXfrm>
    </dsp:sp>
    <dsp:sp modelId="{8106893D-3A89-48AC-99BF-9C6C7C662C1D}">
      <dsp:nvSpPr>
        <dsp:cNvPr id="0" name=""/>
        <dsp:cNvSpPr/>
      </dsp:nvSpPr>
      <dsp:spPr>
        <a:xfrm>
          <a:off x="6092218" y="3281058"/>
          <a:ext cx="938314" cy="4691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GERADOR DE RELATORIOS COM INDICADORES</a:t>
          </a:r>
        </a:p>
      </dsp:txBody>
      <dsp:txXfrm>
        <a:off x="6092218" y="3281058"/>
        <a:ext cx="938314" cy="469157"/>
      </dsp:txXfrm>
    </dsp:sp>
    <dsp:sp modelId="{A197E7E5-E989-4B2D-830A-0E09071FB3E2}">
      <dsp:nvSpPr>
        <dsp:cNvPr id="0" name=""/>
        <dsp:cNvSpPr/>
      </dsp:nvSpPr>
      <dsp:spPr>
        <a:xfrm>
          <a:off x="6092218" y="3947261"/>
          <a:ext cx="938314" cy="4691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INTEGRAÇÃO DE APIS</a:t>
          </a:r>
        </a:p>
      </dsp:txBody>
      <dsp:txXfrm>
        <a:off x="6092218" y="3947261"/>
        <a:ext cx="938314" cy="469157"/>
      </dsp:txXfrm>
    </dsp:sp>
    <dsp:sp modelId="{0BF99F41-2B36-4860-856E-9B912562371F}">
      <dsp:nvSpPr>
        <dsp:cNvPr id="0" name=""/>
        <dsp:cNvSpPr/>
      </dsp:nvSpPr>
      <dsp:spPr>
        <a:xfrm>
          <a:off x="6965644" y="1272384"/>
          <a:ext cx="1047741" cy="469157"/>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b="1" kern="1200"/>
            <a:t>INTEGRAÇÃO COM SISTEMAS DE SAÚDE</a:t>
          </a:r>
        </a:p>
      </dsp:txBody>
      <dsp:txXfrm>
        <a:off x="6965644" y="1272384"/>
        <a:ext cx="1047741" cy="469157"/>
      </dsp:txXfrm>
    </dsp:sp>
    <dsp:sp modelId="{1B7F2636-2E39-4D22-BF8C-4574EEF2DA91}">
      <dsp:nvSpPr>
        <dsp:cNvPr id="0" name=""/>
        <dsp:cNvSpPr/>
      </dsp:nvSpPr>
      <dsp:spPr>
        <a:xfrm>
          <a:off x="7227579" y="1948651"/>
          <a:ext cx="938314" cy="4691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INTEGRAÇÃO COM DIVERSOS SISTEMAS</a:t>
          </a:r>
        </a:p>
      </dsp:txBody>
      <dsp:txXfrm>
        <a:off x="7227579" y="1948651"/>
        <a:ext cx="938314" cy="469157"/>
      </dsp:txXfrm>
    </dsp:sp>
    <dsp:sp modelId="{D2B32FE8-B300-4E27-B7E2-297F3F999D4E}">
      <dsp:nvSpPr>
        <dsp:cNvPr id="0" name=""/>
        <dsp:cNvSpPr/>
      </dsp:nvSpPr>
      <dsp:spPr>
        <a:xfrm>
          <a:off x="7227579" y="2614854"/>
          <a:ext cx="938314" cy="4691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GARANTIR A SEGURANÇA E PRIVACIDADE </a:t>
          </a:r>
        </a:p>
      </dsp:txBody>
      <dsp:txXfrm>
        <a:off x="7227579" y="2614854"/>
        <a:ext cx="938314" cy="469157"/>
      </dsp:txXfrm>
    </dsp:sp>
    <dsp:sp modelId="{0B77889B-AAC5-42E4-AC09-1DCA681BCE85}">
      <dsp:nvSpPr>
        <dsp:cNvPr id="0" name=""/>
        <dsp:cNvSpPr/>
      </dsp:nvSpPr>
      <dsp:spPr>
        <a:xfrm>
          <a:off x="7227579" y="3281058"/>
          <a:ext cx="938314" cy="4691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INTEGRAÇÃO E SINCRONIZAÇÃO DE DADOS</a:t>
          </a:r>
        </a:p>
      </dsp:txBody>
      <dsp:txXfrm>
        <a:off x="7227579" y="3281058"/>
        <a:ext cx="938314" cy="469157"/>
      </dsp:txXfrm>
    </dsp:sp>
    <dsp:sp modelId="{3A2A1C1F-CABC-4C98-B728-F262323AA994}">
      <dsp:nvSpPr>
        <dsp:cNvPr id="0" name=""/>
        <dsp:cNvSpPr/>
      </dsp:nvSpPr>
      <dsp:spPr>
        <a:xfrm>
          <a:off x="8210431" y="1272384"/>
          <a:ext cx="1014618" cy="469157"/>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b="1" kern="1200"/>
            <a:t>TESTES</a:t>
          </a:r>
        </a:p>
      </dsp:txBody>
      <dsp:txXfrm>
        <a:off x="8210431" y="1272384"/>
        <a:ext cx="1014618" cy="469157"/>
      </dsp:txXfrm>
    </dsp:sp>
    <dsp:sp modelId="{6BAFA004-7462-4BB3-8CF7-8F0FAE532698}">
      <dsp:nvSpPr>
        <dsp:cNvPr id="0" name=""/>
        <dsp:cNvSpPr/>
      </dsp:nvSpPr>
      <dsp:spPr>
        <a:xfrm>
          <a:off x="8464086" y="1948651"/>
          <a:ext cx="938314" cy="4691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TESTES DE QUALIDADE E DESEMPENHO</a:t>
          </a:r>
        </a:p>
      </dsp:txBody>
      <dsp:txXfrm>
        <a:off x="8464086" y="1948651"/>
        <a:ext cx="938314" cy="469157"/>
      </dsp:txXfrm>
    </dsp:sp>
    <dsp:sp modelId="{8214640F-5D66-49B2-997F-5F320E255B10}">
      <dsp:nvSpPr>
        <dsp:cNvPr id="0" name=""/>
        <dsp:cNvSpPr/>
      </dsp:nvSpPr>
      <dsp:spPr>
        <a:xfrm>
          <a:off x="8464086" y="2614854"/>
          <a:ext cx="938314" cy="4691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TESTES DE USABILIDADE</a:t>
          </a:r>
        </a:p>
      </dsp:txBody>
      <dsp:txXfrm>
        <a:off x="8464086" y="2614854"/>
        <a:ext cx="938314" cy="469157"/>
      </dsp:txXfrm>
    </dsp:sp>
    <dsp:sp modelId="{0CE7C8B4-F8E6-429D-8C4A-73E9D60DCB81}">
      <dsp:nvSpPr>
        <dsp:cNvPr id="0" name=""/>
        <dsp:cNvSpPr/>
      </dsp:nvSpPr>
      <dsp:spPr>
        <a:xfrm>
          <a:off x="8464086" y="3281058"/>
          <a:ext cx="938314" cy="4691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IDENTIFICAÇÃO E CORREÇÃO DE BUGS</a:t>
          </a:r>
        </a:p>
      </dsp:txBody>
      <dsp:txXfrm>
        <a:off x="8464086" y="3281058"/>
        <a:ext cx="938314" cy="469157"/>
      </dsp:txXfrm>
    </dsp:sp>
    <dsp:sp modelId="{9A681887-5350-4EBE-BD43-C7E4297AB1BB}">
      <dsp:nvSpPr>
        <dsp:cNvPr id="0" name=""/>
        <dsp:cNvSpPr/>
      </dsp:nvSpPr>
      <dsp:spPr>
        <a:xfrm>
          <a:off x="9422096" y="1272384"/>
          <a:ext cx="938314" cy="469157"/>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b="1" kern="1200"/>
            <a:t>LANÇAMENTO</a:t>
          </a:r>
        </a:p>
      </dsp:txBody>
      <dsp:txXfrm>
        <a:off x="9422096" y="1272384"/>
        <a:ext cx="938314" cy="469157"/>
      </dsp:txXfrm>
    </dsp:sp>
    <dsp:sp modelId="{A4073290-40FA-4447-A63D-A2A271E69369}">
      <dsp:nvSpPr>
        <dsp:cNvPr id="0" name=""/>
        <dsp:cNvSpPr/>
      </dsp:nvSpPr>
      <dsp:spPr>
        <a:xfrm>
          <a:off x="9656675" y="1948651"/>
          <a:ext cx="938314" cy="4691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CRIAR MATERIAS DE MARKETING</a:t>
          </a:r>
        </a:p>
      </dsp:txBody>
      <dsp:txXfrm>
        <a:off x="9656675" y="1948651"/>
        <a:ext cx="938314" cy="469157"/>
      </dsp:txXfrm>
    </dsp:sp>
    <dsp:sp modelId="{CC7BE9CC-9E44-4B05-9B0E-850124C3547A}">
      <dsp:nvSpPr>
        <dsp:cNvPr id="0" name=""/>
        <dsp:cNvSpPr/>
      </dsp:nvSpPr>
      <dsp:spPr>
        <a:xfrm>
          <a:off x="9656675" y="2614854"/>
          <a:ext cx="938314" cy="4691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PREPARAR INFRAESTRUTURA NO MARKETPLACE</a:t>
          </a:r>
        </a:p>
      </dsp:txBody>
      <dsp:txXfrm>
        <a:off x="9656675" y="2614854"/>
        <a:ext cx="938314" cy="469157"/>
      </dsp:txXfrm>
    </dsp:sp>
    <dsp:sp modelId="{55EC4157-21BA-4613-8860-42E031585862}">
      <dsp:nvSpPr>
        <dsp:cNvPr id="0" name=""/>
        <dsp:cNvSpPr/>
      </dsp:nvSpPr>
      <dsp:spPr>
        <a:xfrm>
          <a:off x="9656675" y="3281058"/>
          <a:ext cx="938314" cy="4691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AVALIAÇÃO DO SITE NAS LOJAS DE APLICATIVOS</a:t>
          </a:r>
        </a:p>
      </dsp:txBody>
      <dsp:txXfrm>
        <a:off x="9656675" y="3281058"/>
        <a:ext cx="938314" cy="469157"/>
      </dsp:txXfrm>
    </dsp:sp>
    <dsp:sp modelId="{36F65EB3-A93B-4BDE-AD59-D991F66D50DB}">
      <dsp:nvSpPr>
        <dsp:cNvPr id="0" name=""/>
        <dsp:cNvSpPr/>
      </dsp:nvSpPr>
      <dsp:spPr>
        <a:xfrm>
          <a:off x="10557457" y="1272384"/>
          <a:ext cx="938314" cy="469157"/>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b="1" kern="1200"/>
            <a:t>PÓS-LANÇAMENTO</a:t>
          </a:r>
        </a:p>
      </dsp:txBody>
      <dsp:txXfrm>
        <a:off x="10557457" y="1272384"/>
        <a:ext cx="938314" cy="469157"/>
      </dsp:txXfrm>
    </dsp:sp>
    <dsp:sp modelId="{26279B3F-32AE-429E-8F6A-E74283514EA0}">
      <dsp:nvSpPr>
        <dsp:cNvPr id="0" name=""/>
        <dsp:cNvSpPr/>
      </dsp:nvSpPr>
      <dsp:spPr>
        <a:xfrm>
          <a:off x="10792035" y="1948651"/>
          <a:ext cx="938314" cy="4691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MONITORAÇÃO DE MÉTRICAS E FEEDBACK</a:t>
          </a:r>
        </a:p>
      </dsp:txBody>
      <dsp:txXfrm>
        <a:off x="10792035" y="1948651"/>
        <a:ext cx="938314" cy="469157"/>
      </dsp:txXfrm>
    </dsp:sp>
    <dsp:sp modelId="{463E7EE2-DBFC-4EC0-BC5D-9271F221CF32}">
      <dsp:nvSpPr>
        <dsp:cNvPr id="0" name=""/>
        <dsp:cNvSpPr/>
      </dsp:nvSpPr>
      <dsp:spPr>
        <a:xfrm>
          <a:off x="10792035" y="2614854"/>
          <a:ext cx="938314" cy="4691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REALIZAÇÃO DE ATUALIZAÇÕES E MELHORIAS CONTÍNUAS</a:t>
          </a:r>
        </a:p>
      </dsp:txBody>
      <dsp:txXfrm>
        <a:off x="10792035" y="2614854"/>
        <a:ext cx="938314" cy="469157"/>
      </dsp:txXfrm>
    </dsp:sp>
    <dsp:sp modelId="{133F1FC1-C5F4-4978-BE80-4F349F36D878}">
      <dsp:nvSpPr>
        <dsp:cNvPr id="0" name=""/>
        <dsp:cNvSpPr/>
      </dsp:nvSpPr>
      <dsp:spPr>
        <a:xfrm>
          <a:off x="10792035" y="3281058"/>
          <a:ext cx="938314" cy="4691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SUPORTE E SOLUÇÃO DE DÚVIDAS</a:t>
          </a:r>
        </a:p>
      </dsp:txBody>
      <dsp:txXfrm>
        <a:off x="10792035" y="3281058"/>
        <a:ext cx="938314" cy="469157"/>
      </dsp:txXfrm>
    </dsp:sp>
    <dsp:sp modelId="{66215115-E87F-416B-87DA-9B997A3EC349}">
      <dsp:nvSpPr>
        <dsp:cNvPr id="0" name=""/>
        <dsp:cNvSpPr/>
      </dsp:nvSpPr>
      <dsp:spPr>
        <a:xfrm>
          <a:off x="11666338" y="1272384"/>
          <a:ext cx="938314" cy="469157"/>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b="1" kern="1200"/>
            <a:t>MARKETING </a:t>
          </a:r>
        </a:p>
        <a:p>
          <a:pPr marL="0" lvl="0" indent="0" algn="ctr" defTabSz="355600">
            <a:lnSpc>
              <a:spcPct val="90000"/>
            </a:lnSpc>
            <a:spcBef>
              <a:spcPct val="0"/>
            </a:spcBef>
            <a:spcAft>
              <a:spcPct val="35000"/>
            </a:spcAft>
            <a:buNone/>
          </a:pPr>
          <a:r>
            <a:rPr lang="pt-BR" sz="800" b="1" kern="1200"/>
            <a:t>E DIVULGAÇÃO</a:t>
          </a:r>
        </a:p>
      </dsp:txBody>
      <dsp:txXfrm>
        <a:off x="11666338" y="1272384"/>
        <a:ext cx="938314" cy="469157"/>
      </dsp:txXfrm>
    </dsp:sp>
    <dsp:sp modelId="{526919F3-C1E6-4952-AA9E-1BBFD8E73B82}">
      <dsp:nvSpPr>
        <dsp:cNvPr id="0" name=""/>
        <dsp:cNvSpPr/>
      </dsp:nvSpPr>
      <dsp:spPr>
        <a:xfrm>
          <a:off x="11927396" y="1948651"/>
          <a:ext cx="938314" cy="4691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ESTRATÉGIAS DE MARKETING</a:t>
          </a:r>
        </a:p>
      </dsp:txBody>
      <dsp:txXfrm>
        <a:off x="11927396" y="1948651"/>
        <a:ext cx="938314" cy="469157"/>
      </dsp:txXfrm>
    </dsp:sp>
    <dsp:sp modelId="{ECADA643-1779-4DA2-8AA6-C1EAF32B0C15}">
      <dsp:nvSpPr>
        <dsp:cNvPr id="0" name=""/>
        <dsp:cNvSpPr/>
      </dsp:nvSpPr>
      <dsp:spPr>
        <a:xfrm>
          <a:off x="11927396" y="2614854"/>
          <a:ext cx="938314" cy="4691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COLABORAÇÃO COM INFLUENCIADORES DE SAÚDE </a:t>
          </a:r>
        </a:p>
      </dsp:txBody>
      <dsp:txXfrm>
        <a:off x="11927396" y="2614854"/>
        <a:ext cx="938314" cy="469157"/>
      </dsp:txXfrm>
    </dsp:sp>
    <dsp:sp modelId="{77F7510F-B277-4906-B909-89B1197C6DDE}">
      <dsp:nvSpPr>
        <dsp:cNvPr id="0" name=""/>
        <dsp:cNvSpPr/>
      </dsp:nvSpPr>
      <dsp:spPr>
        <a:xfrm>
          <a:off x="11927396" y="3281058"/>
          <a:ext cx="938314" cy="4691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CAMPANHAS EM MÍDIAS SOCIAIS E ANÚNCIOS ONLINE</a:t>
          </a:r>
        </a:p>
      </dsp:txBody>
      <dsp:txXfrm>
        <a:off x="11927396" y="3281058"/>
        <a:ext cx="938314" cy="469157"/>
      </dsp:txXfrm>
    </dsp:sp>
    <dsp:sp modelId="{9A7C5AEB-3E05-469A-95FE-22BE39540AE1}">
      <dsp:nvSpPr>
        <dsp:cNvPr id="0" name=""/>
        <dsp:cNvSpPr/>
      </dsp:nvSpPr>
      <dsp:spPr>
        <a:xfrm>
          <a:off x="12801699" y="1272384"/>
          <a:ext cx="1102754" cy="469157"/>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b="1" kern="1200"/>
            <a:t>AVALIAÇÃO</a:t>
          </a:r>
        </a:p>
        <a:p>
          <a:pPr marL="0" lvl="0" indent="0" algn="ctr" defTabSz="355600">
            <a:lnSpc>
              <a:spcPct val="90000"/>
            </a:lnSpc>
            <a:spcBef>
              <a:spcPct val="0"/>
            </a:spcBef>
            <a:spcAft>
              <a:spcPct val="35000"/>
            </a:spcAft>
            <a:buNone/>
          </a:pPr>
          <a:r>
            <a:rPr lang="pt-BR" sz="800" b="1" kern="1200"/>
            <a:t>E APERFEICOAMENTO</a:t>
          </a:r>
        </a:p>
      </dsp:txBody>
      <dsp:txXfrm>
        <a:off x="12801699" y="1272384"/>
        <a:ext cx="1102754" cy="469157"/>
      </dsp:txXfrm>
    </dsp:sp>
    <dsp:sp modelId="{250F3822-B3AA-4407-90AE-B2B8D5EF00A9}">
      <dsp:nvSpPr>
        <dsp:cNvPr id="0" name=""/>
        <dsp:cNvSpPr/>
      </dsp:nvSpPr>
      <dsp:spPr>
        <a:xfrm>
          <a:off x="13103867" y="1948651"/>
          <a:ext cx="938314" cy="4691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ANÁLISE DE DESEMPENHO</a:t>
          </a:r>
        </a:p>
      </dsp:txBody>
      <dsp:txXfrm>
        <a:off x="13103867" y="1948651"/>
        <a:ext cx="938314" cy="469157"/>
      </dsp:txXfrm>
    </dsp:sp>
    <dsp:sp modelId="{9BEC86F9-D6A7-4983-86A8-08577B7FE900}">
      <dsp:nvSpPr>
        <dsp:cNvPr id="0" name=""/>
        <dsp:cNvSpPr/>
      </dsp:nvSpPr>
      <dsp:spPr>
        <a:xfrm>
          <a:off x="13103867" y="2614854"/>
          <a:ext cx="938314" cy="4691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COLETAR FEEDBACK E IMPLEMENTAÇÃO DE MELHORIAS</a:t>
          </a:r>
        </a:p>
      </dsp:txBody>
      <dsp:txXfrm>
        <a:off x="13103867" y="2614854"/>
        <a:ext cx="938314" cy="469157"/>
      </dsp:txXfrm>
    </dsp:sp>
    <dsp:sp modelId="{68D73AD6-74BD-4C2E-A75E-08E466B13B32}">
      <dsp:nvSpPr>
        <dsp:cNvPr id="0" name=""/>
        <dsp:cNvSpPr/>
      </dsp:nvSpPr>
      <dsp:spPr>
        <a:xfrm>
          <a:off x="13103867" y="3281058"/>
          <a:ext cx="938314" cy="4691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ADAPTAÇÃO  AO MERCADO</a:t>
          </a:r>
        </a:p>
      </dsp:txBody>
      <dsp:txXfrm>
        <a:off x="13103867" y="3281058"/>
        <a:ext cx="938314" cy="469157"/>
      </dsp:txXfrm>
    </dsp:sp>
    <dsp:sp modelId="{F5C5F184-CBCA-49BB-BB7E-3A0146C211EB}">
      <dsp:nvSpPr>
        <dsp:cNvPr id="0" name=""/>
        <dsp:cNvSpPr/>
      </dsp:nvSpPr>
      <dsp:spPr>
        <a:xfrm>
          <a:off x="14101500" y="1282447"/>
          <a:ext cx="693395" cy="469157"/>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b="1" kern="1200"/>
            <a:t>EXPANSÃO</a:t>
          </a:r>
        </a:p>
      </dsp:txBody>
      <dsp:txXfrm>
        <a:off x="14101500" y="1282447"/>
        <a:ext cx="693395" cy="469157"/>
      </dsp:txXfrm>
    </dsp:sp>
    <dsp:sp modelId="{3E37B074-43F2-410D-A821-9E917734EEF5}">
      <dsp:nvSpPr>
        <dsp:cNvPr id="0" name=""/>
        <dsp:cNvSpPr/>
      </dsp:nvSpPr>
      <dsp:spPr>
        <a:xfrm>
          <a:off x="14301328" y="1948651"/>
          <a:ext cx="938314" cy="4691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ANÁLISE DE EXPANSÃO DE MERCADO</a:t>
          </a:r>
        </a:p>
      </dsp:txBody>
      <dsp:txXfrm>
        <a:off x="14301328" y="1948651"/>
        <a:ext cx="938314" cy="469157"/>
      </dsp:txXfrm>
    </dsp:sp>
    <dsp:sp modelId="{E1649481-31C2-4E1C-A6F3-BCDF01D59BD2}">
      <dsp:nvSpPr>
        <dsp:cNvPr id="0" name=""/>
        <dsp:cNvSpPr/>
      </dsp:nvSpPr>
      <dsp:spPr>
        <a:xfrm>
          <a:off x="14301328" y="2614854"/>
          <a:ext cx="938314" cy="4691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DESENVOLVER PARCERIAS</a:t>
          </a:r>
        </a:p>
      </dsp:txBody>
      <dsp:txXfrm>
        <a:off x="14301328" y="2614854"/>
        <a:ext cx="938314" cy="469157"/>
      </dsp:txXfrm>
    </dsp:sp>
    <dsp:sp modelId="{5D899EB1-B601-4B33-9059-E0DEFEEE5318}">
      <dsp:nvSpPr>
        <dsp:cNvPr id="0" name=""/>
        <dsp:cNvSpPr/>
      </dsp:nvSpPr>
      <dsp:spPr>
        <a:xfrm>
          <a:off x="14301328" y="3281058"/>
          <a:ext cx="938314" cy="469157"/>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DESENVOLVER VERSÕES DE ASSINATURA</a:t>
          </a:r>
        </a:p>
      </dsp:txBody>
      <dsp:txXfrm>
        <a:off x="14301328" y="3281058"/>
        <a:ext cx="938314" cy="469157"/>
      </dsp:txXfrm>
    </dsp:sp>
  </dsp:spTree>
</dsp:drawing>
</file>

<file path=xl/diagrams/layout1.xml><?xml version="1.0" encoding="utf-8"?>
<dgm:layoutDef xmlns:dgm="http://schemas.openxmlformats.org/drawingml/2006/diagram" xmlns:a="http://schemas.openxmlformats.org/drawingml/2006/main" uniqueId="urn:microsoft.com/office/officeart/2005/8/layout/orgChart1">
  <dgm:title val=""/>
  <dgm:desc val=""/>
  <dgm:catLst>
    <dgm:cat type="hierarchy" pri="1000"/>
    <dgm:cat type="convert" pri="6000"/>
  </dgm:catLst>
  <dgm:sampData>
    <dgm:dataModel>
      <dgm:ptLst>
        <dgm:pt modelId="0" type="doc"/>
        <dgm:pt modelId="1">
          <dgm:prSet phldr="1"/>
        </dgm:pt>
        <dgm:pt modelId="2" type="asst">
          <dgm:prSet phldr="1"/>
        </dgm:pt>
        <dgm:pt modelId="3">
          <dgm:prSet phldr="1"/>
        </dgm:pt>
        <dgm:pt modelId="4">
          <dgm:prSet phldr="1"/>
        </dgm:pt>
        <dgm:pt modelId="5">
          <dgm:prSet phldr="1"/>
        </dgm:pt>
      </dgm:ptLst>
      <dgm:cxnLst>
        <dgm:cxn modelId="5" srcId="0" destId="1" srcOrd="0" destOrd="0"/>
        <dgm:cxn modelId="6" srcId="1" destId="2" srcOrd="0" destOrd="0"/>
        <dgm:cxn modelId="7" srcId="1" destId="3" srcOrd="1" destOrd="0"/>
        <dgm:cxn modelId="8" srcId="1" destId="4" srcOrd="2" destOrd="0"/>
        <dgm:cxn modelId="9" srcId="1" destId="5" srcOrd="3" destOrd="0"/>
      </dgm:cxnLst>
      <dgm:bg/>
      <dgm:whole/>
    </dgm:dataModel>
  </dgm:sampData>
  <dgm:styleData>
    <dgm:dataModel>
      <dgm:ptLst>
        <dgm:pt modelId="0" type="doc"/>
        <dgm:pt modelId="1"/>
        <dgm:pt modelId="12"/>
        <dgm:pt modelId="13"/>
      </dgm:ptLst>
      <dgm:cxnLst>
        <dgm:cxn modelId="2" srcId="0" destId="1" srcOrd="0" destOrd="0"/>
        <dgm:cxn modelId="16" srcId="1" destId="12" srcOrd="1" destOrd="0"/>
        <dgm:cxn modelId="17" srcId="1" destId="13" srcOrd="2" destOrd="0"/>
      </dgm:cxnLst>
      <dgm:bg/>
      <dgm:whole/>
    </dgm:dataModel>
  </dgm:styleData>
  <dgm:clrData>
    <dgm:dataModel>
      <dgm:ptLst>
        <dgm:pt modelId="0" type="doc"/>
        <dgm:pt modelId="1"/>
        <dgm:pt modelId="11" type="asst"/>
        <dgm:pt modelId="12"/>
        <dgm:pt modelId="13"/>
        <dgm:pt modelId="14"/>
      </dgm:ptLst>
      <dgm:cxnLst>
        <dgm:cxn modelId="2" srcId="0" destId="1" srcOrd="0" destOrd="0"/>
        <dgm:cxn modelId="15" srcId="1" destId="11" srcOrd="0" destOrd="0"/>
        <dgm:cxn modelId="16" srcId="1" destId="12" srcOrd="1" destOrd="0"/>
        <dgm:cxn modelId="17" srcId="1" destId="13" srcOrd="2" destOrd="0"/>
        <dgm:cxn modelId="18" srcId="1" destId="14" srcOrd="2" destOrd="0"/>
      </dgm:cxnLst>
      <dgm:bg/>
      <dgm:whole/>
    </dgm:dataModel>
  </dgm:clrData>
  <dgm:layoutNode name="hierChild1">
    <dgm:varLst>
      <dgm:orgChart val="1"/>
      <dgm:chPref val="1"/>
      <dgm:dir/>
      <dgm:animOne val="branch"/>
      <dgm:animLvl val="lvl"/>
      <dgm:resizeHandles/>
    </dgm:varLst>
    <dgm:choose name="Name0">
      <dgm:if name="Name1" func="var" arg="dir" op="equ" val="norm">
        <dgm:alg type="hierChild">
          <dgm:param type="linDir" val="fromL"/>
        </dgm:alg>
      </dgm:if>
      <dgm:else name="Name2">
        <dgm:alg type="hierChild">
          <dgm:param type="linDir" val="fromR"/>
        </dgm:alg>
      </dgm:else>
    </dgm:choose>
    <dgm:shape xmlns:r="http://schemas.openxmlformats.org/officeDocument/2006/relationships" r:blip="">
      <dgm:adjLst/>
    </dgm:shape>
    <dgm:presOf/>
    <dgm:constrLst>
      <dgm:constr type="w" for="des" forName="rootComposite1" refType="w" fact="10"/>
      <dgm:constr type="h" for="des" forName="rootComposite1" refType="w" refFor="des" refForName="rootComposite1" fact="0.5"/>
      <dgm:constr type="w" for="des" forName="rootComposite" refType="w" fact="10"/>
      <dgm:constr type="h" for="des" forName="rootComposite" refType="w" refFor="des" refForName="rootComposite1" fact="0.5"/>
      <dgm:constr type="w" for="des" forName="rootComposite3" refType="w" fact="10"/>
      <dgm:constr type="h" for="des" forName="rootComposite3" refType="w" refFor="des" refForName="rootComposite1" fact="0.5"/>
      <dgm:constr type="primFontSz" for="des" ptType="node" op="equ"/>
      <dgm:constr type="sp" for="des" op="equ"/>
      <dgm:constr type="sp" for="des" forName="hierRoot1" refType="w" refFor="des" refForName="rootComposite1" fact="0.21"/>
      <dgm:constr type="sp" for="des" forName="hierRoot2" refType="sp" refFor="des" refForName="hierRoot1"/>
      <dgm:constr type="sp" for="des" forName="hierRoot3" refType="sp" refFor="des" refForName="hierRoot1"/>
      <dgm:constr type="sibSp" refType="w" refFor="des" refForName="rootComposite1" fact="0.21"/>
      <dgm:constr type="sibSp" for="des" forName="hierChild2" refType="sibSp"/>
      <dgm:constr type="sibSp" for="des" forName="hierChild3" refType="sibSp"/>
      <dgm:constr type="sibSp" for="des" forName="hierChild4" refType="sibSp"/>
      <dgm:constr type="sibSp" for="des" forName="hierChild5" refType="sibSp"/>
      <dgm:constr type="sibSp" for="des" forName="hierChild6" refType="sibSp"/>
      <dgm:constr type="sibSp" for="des" forName="hierChild7" refType="sibSp"/>
      <dgm:constr type="secSibSp" refType="w" refFor="des" refForName="rootComposite1" fact="0.21"/>
      <dgm:constr type="secSibSp" for="des" forName="hierChild2" refType="secSibSp"/>
      <dgm:constr type="secSibSp" for="des" forName="hierChild3" refType="secSibSp"/>
      <dgm:constr type="secSibSp" for="des" forName="hierChild4" refType="secSibSp"/>
      <dgm:constr type="secSibSp" for="des" forName="hierChild5" refType="secSibSp"/>
      <dgm:constr type="secSibSp" for="des" forName="hierChild6" refType="secSibSp"/>
      <dgm:constr type="secSibSp" for="des" forName="hierChild7" refType="secSibSp"/>
    </dgm:constrLst>
    <dgm:ruleLst/>
    <dgm:forEach name="Name3" axis="ch">
      <dgm:forEach name="Name4" axis="self" ptType="node">
        <dgm:layoutNode name="hierRoot1">
          <dgm:varLst>
            <dgm:hierBranch val="init"/>
          </dgm:varLst>
          <dgm:choose name="Name5">
            <dgm:if name="Name6" func="var" arg="hierBranch" op="equ" val="l">
              <dgm:choose name="Name7">
                <dgm:if name="Name8" axis="ch" ptType="asst" func="cnt" op="gte" val="1">
                  <dgm:alg type="hierRoot">
                    <dgm:param type="hierAlign" val="tR"/>
                  </dgm:alg>
                  <dgm:constrLst>
                    <dgm:constr type="alignOff" val="0.65"/>
                  </dgm:constrLst>
                </dgm:if>
                <dgm:else name="Name9">
                  <dgm:alg type="hierRoot">
                    <dgm:param type="hierAlign" val="tR"/>
                  </dgm:alg>
                  <dgm:constrLst>
                    <dgm:constr type="alignOff" val="0.25"/>
                  </dgm:constrLst>
                </dgm:else>
              </dgm:choose>
            </dgm:if>
            <dgm:if name="Name10" func="var" arg="hierBranch" op="equ" val="r">
              <dgm:choose name="Name11">
                <dgm:if name="Name12" axis="ch" ptType="asst" func="cnt" op="gte" val="1">
                  <dgm:alg type="hierRoot">
                    <dgm:param type="hierAlign" val="tL"/>
                  </dgm:alg>
                  <dgm:constrLst>
                    <dgm:constr type="alignOff" val="0.65"/>
                  </dgm:constrLst>
                </dgm:if>
                <dgm:else name="Name13">
                  <dgm:alg type="hierRoot">
                    <dgm:param type="hierAlign" val="tL"/>
                  </dgm:alg>
                  <dgm:constrLst>
                    <dgm:constr type="alignOff" val="0.25"/>
                  </dgm:constrLst>
                </dgm:else>
              </dgm:choose>
            </dgm:if>
            <dgm:if name="Name14" func="var" arg="hierBranch" op="equ" val="hang">
              <dgm:alg type="hierRoot"/>
              <dgm:constrLst>
                <dgm:constr type="alignOff" val="0.65"/>
              </dgm:constrLst>
            </dgm:if>
            <dgm:else name="Name15">
              <dgm:alg type="hierRoot"/>
              <dgm:constrLst>
                <dgm:constr type="alignOff"/>
                <dgm:constr type="bendDist" for="des" ptType="parTrans" refType="sp" fact="0.5"/>
              </dgm:constrLst>
            </dgm:else>
          </dgm:choose>
          <dgm:shape xmlns:r="http://schemas.openxmlformats.org/officeDocument/2006/relationships" r:blip="">
            <dgm:adjLst/>
          </dgm:shape>
          <dgm:presOf/>
          <dgm:ruleLst/>
          <dgm:layoutNode name="rootComposite1">
            <dgm:alg type="composite"/>
            <dgm:shape xmlns:r="http://schemas.openxmlformats.org/officeDocument/2006/relationships" r:blip="">
              <dgm:adjLst/>
            </dgm:shape>
            <dgm:presOf axis="self" ptType="node" cnt="1"/>
            <dgm:choose name="Name16">
              <dgm:if name="Name17" func="var" arg="hierBranch" op="equ" val="init">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if name="Name18" func="var" arg="hierBranch" op="equ" val="l">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if>
              <dgm:if name="Name19" func="var" arg="hierBranch" op="equ" val="r">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else name="Name20">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else>
            </dgm:choose>
            <dgm:ruleLst/>
            <dgm:layoutNode name="rootText1" styleLbl="node0">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1" moveWith="rootText1">
              <dgm:alg type="sp"/>
              <dgm:shape xmlns:r="http://schemas.openxmlformats.org/officeDocument/2006/relationships" type="rect" r:blip="" hideGeom="1">
                <dgm:adjLst/>
              </dgm:shape>
              <dgm:presOf axis="self" ptType="node" cnt="1"/>
              <dgm:constrLst/>
              <dgm:ruleLst/>
            </dgm:layoutNode>
          </dgm:layoutNode>
          <dgm:layoutNode name="hierChild2">
            <dgm:choose name="Name21">
              <dgm:if name="Name22" func="var" arg="hierBranch" op="equ" val="l">
                <dgm:alg type="hierChild">
                  <dgm:param type="chAlign" val="r"/>
                  <dgm:param type="linDir" val="fromT"/>
                </dgm:alg>
              </dgm:if>
              <dgm:if name="Name23" func="var" arg="hierBranch" op="equ" val="r">
                <dgm:alg type="hierChild">
                  <dgm:param type="chAlign" val="l"/>
                  <dgm:param type="linDir" val="fromT"/>
                </dgm:alg>
              </dgm:if>
              <dgm:if name="Name24" func="var" arg="hierBranch" op="equ" val="hang">
                <dgm:choose name="Name25">
                  <dgm:if name="Name26" func="var" arg="dir" op="equ" val="norm">
                    <dgm:alg type="hierChild">
                      <dgm:param type="chAlign" val="l"/>
                      <dgm:param type="linDir" val="fromL"/>
                      <dgm:param type="secChAlign" val="t"/>
                      <dgm:param type="secLinDir" val="fromT"/>
                    </dgm:alg>
                  </dgm:if>
                  <dgm:else name="Name27">
                    <dgm:alg type="hierChild">
                      <dgm:param type="chAlign" val="l"/>
                      <dgm:param type="linDir" val="fromR"/>
                      <dgm:param type="secChAlign" val="t"/>
                      <dgm:param type="secLinDir" val="fromT"/>
                    </dgm:alg>
                  </dgm:else>
                </dgm:choose>
              </dgm:if>
              <dgm:else name="Name28">
                <dgm:choose name="Name29">
                  <dgm:if name="Name30" func="var" arg="dir" op="equ" val="norm">
                    <dgm:alg type="hierChild"/>
                  </dgm:if>
                  <dgm:else name="Name31">
                    <dgm:alg type="hierChild">
                      <dgm:param type="linDir" val="fromR"/>
                    </dgm:alg>
                  </dgm:else>
                </dgm:choose>
              </dgm:else>
            </dgm:choose>
            <dgm:shape xmlns:r="http://schemas.openxmlformats.org/officeDocument/2006/relationships" r:blip="">
              <dgm:adjLst/>
            </dgm:shape>
            <dgm:presOf/>
            <dgm:constrLst/>
            <dgm:ruleLst/>
            <dgm:forEach name="rep2a" axis="ch" ptType="nonAsst">
              <dgm:forEach name="Name32" axis="precedSib" ptType="parTrans" st="-1" cnt="1">
                <dgm:choose name="Name33">
                  <dgm:if name="Name34" func="var" arg="hierBranch" op="equ" val="std">
                    <dgm:layoutNode name="Name35">
                      <dgm:alg type="conn">
                        <dgm:param type="connRout" val="bend"/>
                        <dgm:param type="dim" val="1D"/>
                        <dgm:param type="endSty" val="noArr"/>
                        <dgm:param type="begPts" val="bCtr"/>
                        <dgm:param type="endPts" val="tCtr"/>
                        <dgm:param type="bendPt" val="end"/>
                      </dgm:alg>
                      <dgm:shape xmlns:r="http://schemas.openxmlformats.org/officeDocument/2006/relationships" type="conn" r:blip="" zOrderOff="-99999">
                        <dgm:adjLst/>
                      </dgm:shape>
                      <dgm:presOf axis="self"/>
                      <dgm:constrLst>
                        <dgm:constr type="begPad"/>
                        <dgm:constr type="endPad"/>
                      </dgm:constrLst>
                      <dgm:ruleLst/>
                    </dgm:layoutNode>
                  </dgm:if>
                  <dgm:if name="Name36" func="var" arg="hierBranch" op="equ" val="init">
                    <dgm:layoutNode name="Name37">
                      <dgm:choose name="Name38">
                        <dgm:if name="Name39" axis="self" func="depth" op="lte" val="2">
                          <dgm:alg type="conn">
                            <dgm:param type="connRout" val="bend"/>
                            <dgm:param type="dim" val="1D"/>
                            <dgm:param type="endSty" val="noArr"/>
                            <dgm:param type="begPts" val="bCtr"/>
                            <dgm:param type="endPts" val="tCtr"/>
                            <dgm:param type="bendPt" val="end"/>
                          </dgm:alg>
                        </dgm:if>
                        <dgm:else name="Name40">
                          <dgm:choose name="Name41">
                            <dgm:if name="Name42" axis="par des" func="maxDepth" op="lte" val="1">
                              <dgm:choose name="Name43">
                                <dgm:if name="Name44" axis="par ch" ptType="node asst" func="cnt" op="gte" val="1">
                                  <dgm:alg type="conn">
                                    <dgm:param type="connRout" val="bend"/>
                                    <dgm:param type="dim" val="1D"/>
                                    <dgm:param type="endSty" val="noArr"/>
                                    <dgm:param type="begPts" val="bCtr"/>
                                    <dgm:param type="endPts" val="midL midR"/>
                                  </dgm:alg>
                                </dgm:if>
                                <dgm:else name="Name45">
                                  <dgm:alg type="conn">
                                    <dgm:param type="connRout" val="bend"/>
                                    <dgm:param type="dim" val="1D"/>
                                    <dgm:param type="endSty" val="noArr"/>
                                    <dgm:param type="begPts" val="bCtr"/>
                                    <dgm:param type="endPts" val="midL midR"/>
                                    <dgm:param type="srcNode" val="rootConnector"/>
                                  </dgm:alg>
                                </dgm:else>
                              </dgm:choose>
                            </dgm:if>
                            <dgm:else name="Name46">
                              <dgm:alg type="conn">
                                <dgm:param type="connRout" val="bend"/>
                                <dgm:param type="dim" val="1D"/>
                                <dgm:param type="endSty" val="noArr"/>
                                <dgm:param type="begPts" val="bCtr"/>
                                <dgm:param type="endPts" val="tCtr"/>
                                <dgm:param type="bendPt" val="end"/>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if>
                  <dgm:if name="Name47" func="var" arg="hierBranch" op="equ" val="hang">
                    <dgm:layoutNode name="Name48">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if>
                  <dgm:else name="Name49">
                    <dgm:layoutNode name="Name50">
                      <dgm:choose name="Name51">
                        <dgm:if name="Name52" axis="self" func="depth" op="lte" val="2">
                          <dgm:choose name="Name53">
                            <dgm:if name="Name54" axis="par ch" ptType="node asst" func="cnt" op="gte" val="1">
                              <dgm:alg type="conn">
                                <dgm:param type="connRout" val="bend"/>
                                <dgm:param type="dim" val="1D"/>
                                <dgm:param type="endSty" val="noArr"/>
                                <dgm:param type="begPts" val="bCtr"/>
                                <dgm:param type="endPts" val="midL midR"/>
                              </dgm:alg>
                            </dgm:if>
                            <dgm:else name="Name55">
                              <dgm:alg type="conn">
                                <dgm:param type="connRout" val="bend"/>
                                <dgm:param type="dim" val="1D"/>
                                <dgm:param type="endSty" val="noArr"/>
                                <dgm:param type="begPts" val="bCtr"/>
                                <dgm:param type="endPts" val="midL midR"/>
                                <dgm:param type="srcNode" val="rootConnector1"/>
                              </dgm:alg>
                            </dgm:else>
                          </dgm:choose>
                        </dgm:if>
                        <dgm:else name="Name56">
                          <dgm:choose name="Name57">
                            <dgm:if name="Name58" axis="par ch" ptType="node asst" func="cnt" op="gte" val="1">
                              <dgm:alg type="conn">
                                <dgm:param type="connRout" val="bend"/>
                                <dgm:param type="dim" val="1D"/>
                                <dgm:param type="endSty" val="noArr"/>
                                <dgm:param type="begPts" val="bCtr"/>
                                <dgm:param type="endPts" val="midL midR"/>
                              </dgm:alg>
                            </dgm:if>
                            <dgm:else name="Name59">
                              <dgm:alg type="conn">
                                <dgm:param type="connRout" val="bend"/>
                                <dgm:param type="dim" val="1D"/>
                                <dgm:param type="endSty" val="noArr"/>
                                <dgm:param type="begPts" val="bCtr"/>
                                <dgm:param type="endPts" val="midL midR"/>
                                <dgm:param type="srcNode" val="rootConnector"/>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else>
                </dgm:choose>
              </dgm:forEach>
              <dgm:layoutNode name="hierRoot2">
                <dgm:varLst>
                  <dgm:hierBranch val="init"/>
                </dgm:varLst>
                <dgm:choose name="Name60">
                  <dgm:if name="Name61" func="var" arg="hierBranch" op="equ" val="l">
                    <dgm:choose name="Name62">
                      <dgm:if name="Name63" axis="ch" ptType="asst" func="cnt" op="gte" val="1">
                        <dgm:alg type="hierRoot">
                          <dgm:param type="hierAlign" val="tR"/>
                        </dgm:alg>
                        <dgm:shape xmlns:r="http://schemas.openxmlformats.org/officeDocument/2006/relationships" r:blip="">
                          <dgm:adjLst/>
                        </dgm:shape>
                        <dgm:presOf/>
                        <dgm:constrLst>
                          <dgm:constr type="alignOff" val="0.65"/>
                        </dgm:constrLst>
                      </dgm:if>
                      <dgm:else name="Name64">
                        <dgm:alg type="hierRoot">
                          <dgm:param type="hierAlign" val="tR"/>
                        </dgm:alg>
                        <dgm:shape xmlns:r="http://schemas.openxmlformats.org/officeDocument/2006/relationships" r:blip="">
                          <dgm:adjLst/>
                        </dgm:shape>
                        <dgm:presOf/>
                        <dgm:constrLst>
                          <dgm:constr type="alignOff" val="0.25"/>
                        </dgm:constrLst>
                      </dgm:else>
                    </dgm:choose>
                  </dgm:if>
                  <dgm:if name="Name65" func="var" arg="hierBranch" op="equ" val="r">
                    <dgm:choose name="Name66">
                      <dgm:if name="Name67"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68">
                        <dgm:alg type="hierRoot">
                          <dgm:param type="hierAlign" val="tL"/>
                        </dgm:alg>
                        <dgm:shape xmlns:r="http://schemas.openxmlformats.org/officeDocument/2006/relationships" r:blip="">
                          <dgm:adjLst/>
                        </dgm:shape>
                        <dgm:presOf/>
                        <dgm:constrLst>
                          <dgm:constr type="alignOff" val="0.25"/>
                        </dgm:constrLst>
                      </dgm:else>
                    </dgm:choose>
                  </dgm:if>
                  <dgm:if name="Name69"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70" func="var" arg="hierBranch" op="equ" val="init">
                    <dgm:choose name="Name71">
                      <dgm:if name="Name72" axis="des" func="maxDepth" op="lte" val="1">
                        <dgm:choose name="Name73">
                          <dgm:if name="Name74"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75">
                            <dgm:alg type="hierRoot">
                              <dgm:param type="hierAlign" val="tL"/>
                            </dgm:alg>
                            <dgm:shape xmlns:r="http://schemas.openxmlformats.org/officeDocument/2006/relationships" r:blip="">
                              <dgm:adjLst/>
                            </dgm:shape>
                            <dgm:presOf/>
                            <dgm:constrLst>
                              <dgm:constr type="alignOff" val="0.25"/>
                            </dgm:constrLst>
                          </dgm:else>
                        </dgm:choose>
                      </dgm:if>
                      <dgm:else name="Name76">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77">
                    <dgm:alg type="hierRoot"/>
                    <dgm:shape xmlns:r="http://schemas.openxmlformats.org/officeDocument/2006/relationships" r:blip="">
                      <dgm:adjLst/>
                    </dgm:shape>
                    <dgm:presOf/>
                    <dgm:constrLst>
                      <dgm:constr type="alignOff" val="0.65"/>
                    </dgm:constrLst>
                  </dgm:else>
                </dgm:choose>
                <dgm:ruleLst/>
                <dgm:layoutNode name="rootComposite">
                  <dgm:alg type="composite"/>
                  <dgm:shape xmlns:r="http://schemas.openxmlformats.org/officeDocument/2006/relationships" r:blip="">
                    <dgm:adjLst/>
                  </dgm:shape>
                  <dgm:presOf axis="self" ptType="node" cnt="1"/>
                  <dgm:choose name="Name78">
                    <dgm:if name="Name79" func="var" arg="hierBranch" op="equ" val="init">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if name="Name80" func="var" arg="hierBranch" op="equ" val="l">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if>
                    <dgm:if name="Name81" func="var" arg="hierBranch" op="equ" val="r">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else name="Name82">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else>
                  </dgm:choose>
                  <dgm:ruleLst/>
                  <dgm:layoutNode name="rootText">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 moveWith="rootText">
                    <dgm:alg type="sp"/>
                    <dgm:shape xmlns:r="http://schemas.openxmlformats.org/officeDocument/2006/relationships" type="rect" r:blip="" hideGeom="1">
                      <dgm:adjLst/>
                    </dgm:shape>
                    <dgm:presOf axis="self" ptType="node" cnt="1"/>
                    <dgm:constrLst/>
                    <dgm:ruleLst/>
                  </dgm:layoutNode>
                </dgm:layoutNode>
                <dgm:layoutNode name="hierChild4">
                  <dgm:choose name="Name83">
                    <dgm:if name="Name84" func="var" arg="hierBranch" op="equ" val="l">
                      <dgm:alg type="hierChild">
                        <dgm:param type="chAlign" val="r"/>
                        <dgm:param type="linDir" val="fromT"/>
                      </dgm:alg>
                    </dgm:if>
                    <dgm:if name="Name85" func="var" arg="hierBranch" op="equ" val="r">
                      <dgm:alg type="hierChild">
                        <dgm:param type="chAlign" val="l"/>
                        <dgm:param type="linDir" val="fromT"/>
                      </dgm:alg>
                    </dgm:if>
                    <dgm:if name="Name86" func="var" arg="hierBranch" op="equ" val="hang">
                      <dgm:choose name="Name87">
                        <dgm:if name="Name88" func="var" arg="dir" op="equ" val="norm">
                          <dgm:alg type="hierChild">
                            <dgm:param type="chAlign" val="l"/>
                            <dgm:param type="linDir" val="fromL"/>
                            <dgm:param type="secChAlign" val="t"/>
                            <dgm:param type="secLinDir" val="fromT"/>
                          </dgm:alg>
                        </dgm:if>
                        <dgm:else name="Name89">
                          <dgm:alg type="hierChild">
                            <dgm:param type="chAlign" val="l"/>
                            <dgm:param type="linDir" val="fromR"/>
                            <dgm:param type="secChAlign" val="t"/>
                            <dgm:param type="secLinDir" val="fromT"/>
                          </dgm:alg>
                        </dgm:else>
                      </dgm:choose>
                    </dgm:if>
                    <dgm:if name="Name90" func="var" arg="hierBranch" op="equ" val="std">
                      <dgm:choose name="Name91">
                        <dgm:if name="Name92" func="var" arg="dir" op="equ" val="norm">
                          <dgm:alg type="hierChild"/>
                        </dgm:if>
                        <dgm:else name="Name93">
                          <dgm:alg type="hierChild">
                            <dgm:param type="linDir" val="fromR"/>
                          </dgm:alg>
                        </dgm:else>
                      </dgm:choose>
                    </dgm:if>
                    <dgm:if name="Name94" func="var" arg="hierBranch" op="equ" val="init">
                      <dgm:choose name="Name95">
                        <dgm:if name="Name96" axis="des" func="maxDepth" op="lte" val="1">
                          <dgm:alg type="hierChild">
                            <dgm:param type="chAlign" val="l"/>
                            <dgm:param type="linDir" val="fromT"/>
                          </dgm:alg>
                        </dgm:if>
                        <dgm:else name="Name97">
                          <dgm:choose name="Name98">
                            <dgm:if name="Name99" func="var" arg="dir" op="equ" val="norm">
                              <dgm:alg type="hierChild"/>
                            </dgm:if>
                            <dgm:else name="Name100">
                              <dgm:alg type="hierChild">
                                <dgm:param type="linDir" val="fromR"/>
                              </dgm:alg>
                            </dgm:else>
                          </dgm:choose>
                        </dgm:else>
                      </dgm:choose>
                    </dgm:if>
                    <dgm:else name="Name101"/>
                  </dgm:choose>
                  <dgm:shape xmlns:r="http://schemas.openxmlformats.org/officeDocument/2006/relationships" r:blip="">
                    <dgm:adjLst/>
                  </dgm:shape>
                  <dgm:presOf/>
                  <dgm:constrLst/>
                  <dgm:ruleLst/>
                  <dgm:forEach name="Name102" ref="rep2a"/>
                </dgm:layoutNode>
                <dgm:layoutNode name="hierChild5">
                  <dgm:choose name="Name103">
                    <dgm:if name="Name104" func="var" arg="dir" op="equ" val="norm">
                      <dgm:alg type="hierChild">
                        <dgm:param type="chAlign" val="l"/>
                        <dgm:param type="linDir" val="fromL"/>
                        <dgm:param type="secChAlign" val="t"/>
                        <dgm:param type="secLinDir" val="fromT"/>
                      </dgm:alg>
                    </dgm:if>
                    <dgm:else name="Name105">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06" ref="rep2b"/>
                </dgm:layoutNode>
              </dgm:layoutNode>
            </dgm:forEach>
          </dgm:layoutNode>
          <dgm:layoutNode name="hierChild3">
            <dgm:choose name="Name107">
              <dgm:if name="Name108" func="var" arg="dir" op="equ" val="norm">
                <dgm:alg type="hierChild">
                  <dgm:param type="chAlign" val="l"/>
                  <dgm:param type="linDir" val="fromL"/>
                  <dgm:param type="secChAlign" val="t"/>
                  <dgm:param type="secLinDir" val="fromT"/>
                </dgm:alg>
              </dgm:if>
              <dgm:else name="Name109">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rep2b" axis="ch" ptType="asst">
              <dgm:forEach name="Name110" axis="precedSib" ptType="parTrans" st="-1" cnt="1">
                <dgm:layoutNode name="Name111">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forEach>
              <dgm:layoutNode name="hierRoot3">
                <dgm:varLst>
                  <dgm:hierBranch val="init"/>
                </dgm:varLst>
                <dgm:choose name="Name112">
                  <dgm:if name="Name113" func="var" arg="hierBranch" op="equ" val="l">
                    <dgm:alg type="hierRoot">
                      <dgm:param type="hierAlign" val="tR"/>
                    </dgm:alg>
                    <dgm:shape xmlns:r="http://schemas.openxmlformats.org/officeDocument/2006/relationships" r:blip="">
                      <dgm:adjLst/>
                    </dgm:shape>
                    <dgm:presOf/>
                    <dgm:constrLst>
                      <dgm:constr type="alignOff" val="0.65"/>
                    </dgm:constrLst>
                  </dgm:if>
                  <dgm:if name="Name114" func="var" arg="hierBranch" op="equ" val="r">
                    <dgm:alg type="hierRoot">
                      <dgm:param type="hierAlign" val="tL"/>
                    </dgm:alg>
                    <dgm:shape xmlns:r="http://schemas.openxmlformats.org/officeDocument/2006/relationships" r:blip="">
                      <dgm:adjLst/>
                    </dgm:shape>
                    <dgm:presOf/>
                    <dgm:constrLst>
                      <dgm:constr type="alignOff" val="0.65"/>
                    </dgm:constrLst>
                  </dgm:if>
                  <dgm:if name="Name115" func="var" arg="hierBranch" op="equ" val="hang">
                    <dgm:alg type="hierRoot"/>
                    <dgm:shape xmlns:r="http://schemas.openxmlformats.org/officeDocument/2006/relationships" r:blip="">
                      <dgm:adjLst/>
                    </dgm:shape>
                    <dgm:presOf/>
                    <dgm:constrLst>
                      <dgm:constr type="alignOff" val="0.65"/>
                    </dgm:constrLst>
                  </dgm:if>
                  <dgm:if name="Name116"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117" func="var" arg="hierBranch" op="equ" val="init">
                    <dgm:choose name="Name118">
                      <dgm:if name="Name119" axis="des" func="maxDepth" op="lte" val="1">
                        <dgm:alg type="hierRoot">
                          <dgm:param type="hierAlign" val="tL"/>
                        </dgm:alg>
                        <dgm:shape xmlns:r="http://schemas.openxmlformats.org/officeDocument/2006/relationships" r:blip="">
                          <dgm:adjLst/>
                        </dgm:shape>
                        <dgm:presOf/>
                        <dgm:constrLst>
                          <dgm:constr type="alignOff" val="0.65"/>
                        </dgm:constrLst>
                      </dgm:if>
                      <dgm:else name="Name120">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121"/>
                </dgm:choose>
                <dgm:ruleLst/>
                <dgm:layoutNode name="rootComposite3">
                  <dgm:alg type="composite"/>
                  <dgm:shape xmlns:r="http://schemas.openxmlformats.org/officeDocument/2006/relationships" r:blip="">
                    <dgm:adjLst/>
                  </dgm:shape>
                  <dgm:presOf axis="self" ptType="node" cnt="1"/>
                  <dgm:choose name="Name122">
                    <dgm:if name="Name123" func="var" arg="hierBranch" op="equ" val="init">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if name="Name124" func="var" arg="hierBranch" op="equ" val="l">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if>
                    <dgm:if name="Name125" func="var" arg="hierBranch" op="equ" val="r">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else name="Name126">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else>
                  </dgm:choose>
                  <dgm:ruleLst/>
                  <dgm:layoutNode name="rootText3">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3" moveWith="rootText1">
                    <dgm:alg type="sp"/>
                    <dgm:shape xmlns:r="http://schemas.openxmlformats.org/officeDocument/2006/relationships" type="rect" r:blip="" hideGeom="1">
                      <dgm:adjLst/>
                    </dgm:shape>
                    <dgm:presOf axis="self" ptType="node" cnt="1"/>
                    <dgm:constrLst/>
                    <dgm:ruleLst/>
                  </dgm:layoutNode>
                </dgm:layoutNode>
                <dgm:layoutNode name="hierChild6">
                  <dgm:choose name="Name127">
                    <dgm:if name="Name128" func="var" arg="hierBranch" op="equ" val="l">
                      <dgm:alg type="hierChild">
                        <dgm:param type="chAlign" val="r"/>
                        <dgm:param type="linDir" val="fromT"/>
                      </dgm:alg>
                    </dgm:if>
                    <dgm:if name="Name129" func="var" arg="hierBranch" op="equ" val="r">
                      <dgm:alg type="hierChild">
                        <dgm:param type="chAlign" val="l"/>
                        <dgm:param type="linDir" val="fromT"/>
                      </dgm:alg>
                    </dgm:if>
                    <dgm:if name="Name130" func="var" arg="hierBranch" op="equ" val="hang">
                      <dgm:choose name="Name131">
                        <dgm:if name="Name132" func="var" arg="dir" op="equ" val="norm">
                          <dgm:alg type="hierChild">
                            <dgm:param type="chAlign" val="l"/>
                            <dgm:param type="linDir" val="fromL"/>
                            <dgm:param type="secChAlign" val="t"/>
                            <dgm:param type="secLinDir" val="fromT"/>
                          </dgm:alg>
                        </dgm:if>
                        <dgm:else name="Name133">
                          <dgm:alg type="hierChild">
                            <dgm:param type="chAlign" val="l"/>
                            <dgm:param type="linDir" val="fromR"/>
                            <dgm:param type="secChAlign" val="t"/>
                            <dgm:param type="secLinDir" val="fromT"/>
                          </dgm:alg>
                        </dgm:else>
                      </dgm:choose>
                    </dgm:if>
                    <dgm:if name="Name134" func="var" arg="hierBranch" op="equ" val="std">
                      <dgm:choose name="Name135">
                        <dgm:if name="Name136" func="var" arg="dir" op="equ" val="norm">
                          <dgm:alg type="hierChild"/>
                        </dgm:if>
                        <dgm:else name="Name137">
                          <dgm:alg type="hierChild">
                            <dgm:param type="linDir" val="fromR"/>
                          </dgm:alg>
                        </dgm:else>
                      </dgm:choose>
                    </dgm:if>
                    <dgm:if name="Name138" func="var" arg="hierBranch" op="equ" val="init">
                      <dgm:choose name="Name139">
                        <dgm:if name="Name140" axis="des" func="maxDepth" op="lte" val="1">
                          <dgm:alg type="hierChild">
                            <dgm:param type="chAlign" val="l"/>
                            <dgm:param type="linDir" val="fromT"/>
                          </dgm:alg>
                        </dgm:if>
                        <dgm:else name="Name141">
                          <dgm:alg type="hierChild"/>
                        </dgm:else>
                      </dgm:choose>
                    </dgm:if>
                    <dgm:else name="Name142"/>
                  </dgm:choose>
                  <dgm:shape xmlns:r="http://schemas.openxmlformats.org/officeDocument/2006/relationships" r:blip="">
                    <dgm:adjLst/>
                  </dgm:shape>
                  <dgm:presOf/>
                  <dgm:constrLst/>
                  <dgm:ruleLst/>
                  <dgm:forEach name="Name143" ref="rep2a"/>
                </dgm:layoutNode>
                <dgm:layoutNode name="hierChild7">
                  <dgm:choose name="Name144">
                    <dgm:if name="Name145" func="var" arg="dir" op="equ" val="norm">
                      <dgm:alg type="hierChild">
                        <dgm:param type="chAlign" val="l"/>
                        <dgm:param type="linDir" val="fromL"/>
                        <dgm:param type="secChAlign" val="t"/>
                        <dgm:param type="secLinDir" val="fromT"/>
                      </dgm:alg>
                    </dgm:if>
                    <dgm:else name="Name146">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47" ref="rep2b"/>
                </dgm:layoutNode>
              </dgm:layoutNode>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4">
  <dgm:title val=""/>
  <dgm:desc val=""/>
  <dgm:catLst>
    <dgm:cat type="simple" pri="10400"/>
  </dgm:catLst>
  <dgm:scene3d>
    <a:camera prst="orthographicFront"/>
    <a:lightRig rig="threePt" dir="t"/>
  </dgm:scene3d>
  <dgm:styleLbl name="node0">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vennNode1">
    <dgm:scene3d>
      <a:camera prst="orthographicFront"/>
      <a:lightRig rig="threePt" dir="t"/>
    </dgm:scene3d>
    <dgm:sp3d/>
    <dgm:txPr/>
    <dgm:style>
      <a:lnRef idx="0">
        <a:scrgbClr r="0" g="0" b="0"/>
      </a:lnRef>
      <a:fillRef idx="3">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node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3">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4">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fg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align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bg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1">
        <a:scrgbClr r="0" g="0" b="0"/>
      </a:effectRef>
      <a:fontRef idx="minor"/>
    </dgm:style>
  </dgm:styleLbl>
  <dgm:styleLbl name="asst0">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3">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4">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3">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parChTrans2D4">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parCh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0">
        <a:scrgbClr r="0" g="0" b="0"/>
      </a:lnRef>
      <a:fillRef idx="3">
        <a:scrgbClr r="0" g="0" b="0"/>
      </a:fillRef>
      <a:effectRef idx="2">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https://encrypted-tbn0.gstatic.com/images?q=tbn:ANd9GcSJ2ijpeoXGPRtz5cNwDfxA0_BvMmgkBeomZ2z0XgM&amp;s" TargetMode="External"/><Relationship Id="rId1" Type="http://schemas.openxmlformats.org/officeDocument/2006/relationships/image" Target="../media/image5.jpeg"/></Relationships>
</file>

<file path=xl/drawings/_rels/drawing3.xml.rels><?xml version="1.0" encoding="UTF-8" standalone="yes"?>
<Relationships xmlns="http://schemas.openxmlformats.org/package/2006/relationships"><Relationship Id="rId3" Type="http://schemas.openxmlformats.org/officeDocument/2006/relationships/diagramQuickStyle" Target="../diagrams/quickStyle1.xml"/><Relationship Id="rId7" Type="http://schemas.openxmlformats.org/officeDocument/2006/relationships/image" Target="https://encrypted-tbn0.gstatic.com/images?q=tbn:ANd9GcSJ2ijpeoXGPRtz5cNwDfxA0_BvMmgkBeomZ2z0XgM&amp;s" TargetMode="External"/><Relationship Id="rId2" Type="http://schemas.openxmlformats.org/officeDocument/2006/relationships/diagramLayout" Target="../diagrams/layout1.xml"/><Relationship Id="rId1" Type="http://schemas.openxmlformats.org/officeDocument/2006/relationships/diagramData" Target="../diagrams/data1.xml"/><Relationship Id="rId6" Type="http://schemas.openxmlformats.org/officeDocument/2006/relationships/image" Target="../media/image6.jpeg"/><Relationship Id="rId5" Type="http://schemas.microsoft.com/office/2007/relationships/diagramDrawing" Target="../diagrams/drawing1.xml"/><Relationship Id="rId4" Type="http://schemas.openxmlformats.org/officeDocument/2006/relationships/diagramColors" Target="../diagrams/colors1.xml"/></Relationships>
</file>

<file path=xl/drawings/_rels/drawing4.xml.rels><?xml version="1.0" encoding="UTF-8" standalone="yes"?>
<Relationships xmlns="http://schemas.openxmlformats.org/package/2006/relationships"><Relationship Id="rId2" Type="http://schemas.openxmlformats.org/officeDocument/2006/relationships/image" Target="https://encrypted-tbn0.gstatic.com/images?q=tbn:ANd9GcSJ2ijpeoXGPRtz5cNwDfxA0_BvMmgkBeomZ2z0XgM&amp;s" TargetMode="External"/><Relationship Id="rId1" Type="http://schemas.openxmlformats.org/officeDocument/2006/relationships/image" Target="../media/image6.jpeg"/></Relationships>
</file>

<file path=xl/drawings/_rels/drawing6.xml.rels><?xml version="1.0" encoding="UTF-8" standalone="yes"?>
<Relationships xmlns="http://schemas.openxmlformats.org/package/2006/relationships"><Relationship Id="rId1" Type="http://schemas.openxmlformats.org/officeDocument/2006/relationships/image" Target="../media/image7.jpeg"/></Relationships>
</file>

<file path=xl/drawings/_rels/drawing7.xml.rels><?xml version="1.0" encoding="UTF-8" standalone="yes"?>
<Relationships xmlns="http://schemas.openxmlformats.org/package/2006/relationships"><Relationship Id="rId2" Type="http://schemas.openxmlformats.org/officeDocument/2006/relationships/image" Target="https://encrypted-tbn0.gstatic.com/images?q=tbn:ANd9GcSJ2ijpeoXGPRtz5cNwDfxA0_BvMmgkBeomZ2z0XgM&amp;s" TargetMode="External"/><Relationship Id="rId1" Type="http://schemas.openxmlformats.org/officeDocument/2006/relationships/image" Target="../media/image6.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0.xml.rels><?xml version="1.0" encoding="UTF-8" standalone="yes"?>
<Relationships xmlns="http://schemas.openxmlformats.org/package/2006/relationships"><Relationship Id="rId2" Type="http://schemas.openxmlformats.org/officeDocument/2006/relationships/image" Target="https://encrypted-tbn0.gstatic.com/images?q=tbn:ANd9GcSJ2ijpeoXGPRtz5cNwDfxA0_BvMmgkBeomZ2z0XgM&amp;s" TargetMode="External"/><Relationship Id="rId1" Type="http://schemas.openxmlformats.org/officeDocument/2006/relationships/image" Target="../media/image6.jpeg"/></Relationships>
</file>

<file path=xl/drawings/drawing1.xml><?xml version="1.0" encoding="utf-8"?>
<xdr:wsDr xmlns:xdr="http://schemas.openxmlformats.org/drawingml/2006/spreadsheetDrawing" xmlns:a="http://schemas.openxmlformats.org/drawingml/2006/main">
  <xdr:twoCellAnchor editAs="oneCell">
    <xdr:from>
      <xdr:col>19</xdr:col>
      <xdr:colOff>254000</xdr:colOff>
      <xdr:row>1</xdr:row>
      <xdr:rowOff>127000</xdr:rowOff>
    </xdr:from>
    <xdr:to>
      <xdr:col>31</xdr:col>
      <xdr:colOff>274063</xdr:colOff>
      <xdr:row>39</xdr:row>
      <xdr:rowOff>67509</xdr:rowOff>
    </xdr:to>
    <xdr:pic>
      <xdr:nvPicPr>
        <xdr:cNvPr id="3" name="Imagem 2">
          <a:extLst>
            <a:ext uri="{FF2B5EF4-FFF2-40B4-BE49-F238E27FC236}">
              <a16:creationId xmlns:a16="http://schemas.microsoft.com/office/drawing/2014/main" id="{FAB2BF19-A4B0-41E5-B591-DAD1D5A66055}"/>
            </a:ext>
          </a:extLst>
        </xdr:cNvPr>
        <xdr:cNvPicPr>
          <a:picLocks noChangeAspect="1"/>
        </xdr:cNvPicPr>
      </xdr:nvPicPr>
      <xdr:blipFill>
        <a:blip xmlns:r="http://schemas.openxmlformats.org/officeDocument/2006/relationships" r:embed="rId1"/>
        <a:stretch>
          <a:fillRect/>
        </a:stretch>
      </xdr:blipFill>
      <xdr:spPr>
        <a:xfrm>
          <a:off x="11715750" y="285750"/>
          <a:ext cx="7259063" cy="5973009"/>
        </a:xfrm>
        <a:prstGeom prst="rect">
          <a:avLst/>
        </a:prstGeom>
      </xdr:spPr>
    </xdr:pic>
    <xdr:clientData/>
  </xdr:twoCellAnchor>
  <xdr:twoCellAnchor editAs="oneCell">
    <xdr:from>
      <xdr:col>19</xdr:col>
      <xdr:colOff>349250</xdr:colOff>
      <xdr:row>40</xdr:row>
      <xdr:rowOff>47625</xdr:rowOff>
    </xdr:from>
    <xdr:to>
      <xdr:col>31</xdr:col>
      <xdr:colOff>359787</xdr:colOff>
      <xdr:row>80</xdr:row>
      <xdr:rowOff>80266</xdr:rowOff>
    </xdr:to>
    <xdr:pic>
      <xdr:nvPicPr>
        <xdr:cNvPr id="9" name="Imagem 8">
          <a:extLst>
            <a:ext uri="{FF2B5EF4-FFF2-40B4-BE49-F238E27FC236}">
              <a16:creationId xmlns:a16="http://schemas.microsoft.com/office/drawing/2014/main" id="{3E8E804E-481E-4076-A400-BD02AA0E2125}"/>
            </a:ext>
          </a:extLst>
        </xdr:cNvPr>
        <xdr:cNvPicPr>
          <a:picLocks noChangeAspect="1"/>
        </xdr:cNvPicPr>
      </xdr:nvPicPr>
      <xdr:blipFill>
        <a:blip xmlns:r="http://schemas.openxmlformats.org/officeDocument/2006/relationships" r:embed="rId2"/>
        <a:stretch>
          <a:fillRect/>
        </a:stretch>
      </xdr:blipFill>
      <xdr:spPr>
        <a:xfrm>
          <a:off x="11811000" y="6397625"/>
          <a:ext cx="7249537" cy="6382641"/>
        </a:xfrm>
        <a:prstGeom prst="rect">
          <a:avLst/>
        </a:prstGeom>
      </xdr:spPr>
    </xdr:pic>
    <xdr:clientData/>
  </xdr:twoCellAnchor>
  <xdr:twoCellAnchor editAs="oneCell">
    <xdr:from>
      <xdr:col>19</xdr:col>
      <xdr:colOff>269875</xdr:colOff>
      <xdr:row>82</xdr:row>
      <xdr:rowOff>31750</xdr:rowOff>
    </xdr:from>
    <xdr:to>
      <xdr:col>31</xdr:col>
      <xdr:colOff>375675</xdr:colOff>
      <xdr:row>117</xdr:row>
      <xdr:rowOff>153192</xdr:rowOff>
    </xdr:to>
    <xdr:pic>
      <xdr:nvPicPr>
        <xdr:cNvPr id="10" name="Imagem 9">
          <a:extLst>
            <a:ext uri="{FF2B5EF4-FFF2-40B4-BE49-F238E27FC236}">
              <a16:creationId xmlns:a16="http://schemas.microsoft.com/office/drawing/2014/main" id="{5E427BA9-77F7-455A-BC0C-93EB30961DCF}"/>
            </a:ext>
          </a:extLst>
        </xdr:cNvPr>
        <xdr:cNvPicPr>
          <a:picLocks noChangeAspect="1"/>
        </xdr:cNvPicPr>
      </xdr:nvPicPr>
      <xdr:blipFill>
        <a:blip xmlns:r="http://schemas.openxmlformats.org/officeDocument/2006/relationships" r:embed="rId3"/>
        <a:stretch>
          <a:fillRect/>
        </a:stretch>
      </xdr:blipFill>
      <xdr:spPr>
        <a:xfrm>
          <a:off x="11731625" y="13049250"/>
          <a:ext cx="7344800" cy="5677692"/>
        </a:xfrm>
        <a:prstGeom prst="rect">
          <a:avLst/>
        </a:prstGeom>
      </xdr:spPr>
    </xdr:pic>
    <xdr:clientData/>
  </xdr:twoCellAnchor>
  <xdr:twoCellAnchor editAs="oneCell">
    <xdr:from>
      <xdr:col>19</xdr:col>
      <xdr:colOff>317500</xdr:colOff>
      <xdr:row>118</xdr:row>
      <xdr:rowOff>63500</xdr:rowOff>
    </xdr:from>
    <xdr:to>
      <xdr:col>31</xdr:col>
      <xdr:colOff>328037</xdr:colOff>
      <xdr:row>156</xdr:row>
      <xdr:rowOff>13535</xdr:rowOff>
    </xdr:to>
    <xdr:pic>
      <xdr:nvPicPr>
        <xdr:cNvPr id="11" name="Imagem 10">
          <a:extLst>
            <a:ext uri="{FF2B5EF4-FFF2-40B4-BE49-F238E27FC236}">
              <a16:creationId xmlns:a16="http://schemas.microsoft.com/office/drawing/2014/main" id="{FE403BB0-5182-4E1A-9FD7-B625BA0565EA}"/>
            </a:ext>
          </a:extLst>
        </xdr:cNvPr>
        <xdr:cNvPicPr>
          <a:picLocks noChangeAspect="1"/>
        </xdr:cNvPicPr>
      </xdr:nvPicPr>
      <xdr:blipFill>
        <a:blip xmlns:r="http://schemas.openxmlformats.org/officeDocument/2006/relationships" r:embed="rId4"/>
        <a:stretch>
          <a:fillRect/>
        </a:stretch>
      </xdr:blipFill>
      <xdr:spPr>
        <a:xfrm>
          <a:off x="11779250" y="18796000"/>
          <a:ext cx="7249537" cy="59825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13607</xdr:colOff>
      <xdr:row>0</xdr:row>
      <xdr:rowOff>0</xdr:rowOff>
    </xdr:from>
    <xdr:to>
      <xdr:col>2</xdr:col>
      <xdr:colOff>53662</xdr:colOff>
      <xdr:row>6</xdr:row>
      <xdr:rowOff>11300</xdr:rowOff>
    </xdr:to>
    <xdr:pic>
      <xdr:nvPicPr>
        <xdr:cNvPr id="2" name="Imagem 1" descr="Logotipo De Saúde E Bem Estar Design De Logotipo De Centro ...">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249720" y="0"/>
          <a:ext cx="630336" cy="10952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428625</xdr:colOff>
      <xdr:row>1</xdr:row>
      <xdr:rowOff>180975</xdr:rowOff>
    </xdr:from>
    <xdr:to>
      <xdr:col>26</xdr:col>
      <xdr:colOff>57149</xdr:colOff>
      <xdr:row>39</xdr:row>
      <xdr:rowOff>133350</xdr:rowOff>
    </xdr:to>
    <xdr:graphicFrame macro="">
      <xdr:nvGraphicFramePr>
        <xdr:cNvPr id="3" name="Diagrama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9</xdr:col>
      <xdr:colOff>597016</xdr:colOff>
      <xdr:row>2</xdr:row>
      <xdr:rowOff>200686</xdr:rowOff>
    </xdr:from>
    <xdr:to>
      <xdr:col>11</xdr:col>
      <xdr:colOff>182336</xdr:colOff>
      <xdr:row>6</xdr:row>
      <xdr:rowOff>701</xdr:rowOff>
    </xdr:to>
    <xdr:pic>
      <xdr:nvPicPr>
        <xdr:cNvPr id="4" name="Imagem 3" descr="Logotipo De Saúde E Bem Estar Design De Logotipo De Centro ...">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6" r:link="rId7" cstate="print">
          <a:extLst>
            <a:ext uri="{28A0092B-C50C-407E-A947-70E740481C1C}">
              <a14:useLocalDpi xmlns:a14="http://schemas.microsoft.com/office/drawing/2010/main" val="0"/>
            </a:ext>
          </a:extLst>
        </a:blip>
        <a:srcRect/>
        <a:stretch>
          <a:fillRect/>
        </a:stretch>
      </xdr:blipFill>
      <xdr:spPr bwMode="auto">
        <a:xfrm>
          <a:off x="6067087" y="608900"/>
          <a:ext cx="809963" cy="8069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201083</xdr:colOff>
      <xdr:row>0</xdr:row>
      <xdr:rowOff>0</xdr:rowOff>
    </xdr:from>
    <xdr:to>
      <xdr:col>1</xdr:col>
      <xdr:colOff>355602</xdr:colOff>
      <xdr:row>4</xdr:row>
      <xdr:rowOff>144601</xdr:rowOff>
    </xdr:to>
    <xdr:pic>
      <xdr:nvPicPr>
        <xdr:cNvPr id="2" name="Imagem 1" descr="Logotipo De Saúde E Bem Estar Design De Logotipo De Centro ...">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201083" y="0"/>
          <a:ext cx="387352" cy="8219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85725</xdr:colOff>
      <xdr:row>7</xdr:row>
      <xdr:rowOff>142875</xdr:rowOff>
    </xdr:from>
    <xdr:to>
      <xdr:col>7</xdr:col>
      <xdr:colOff>304800</xdr:colOff>
      <xdr:row>7</xdr:row>
      <xdr:rowOff>152400</xdr:rowOff>
    </xdr:to>
    <xdr:cxnSp macro="">
      <xdr:nvCxnSpPr>
        <xdr:cNvPr id="2" name="Conector de Seta Reta 1">
          <a:extLst>
            <a:ext uri="{FF2B5EF4-FFF2-40B4-BE49-F238E27FC236}">
              <a16:creationId xmlns:a16="http://schemas.microsoft.com/office/drawing/2014/main" id="{22C4B6F8-F573-444F-8135-3F116020A60A}"/>
            </a:ext>
          </a:extLst>
        </xdr:cNvPr>
        <xdr:cNvCxnSpPr/>
      </xdr:nvCxnSpPr>
      <xdr:spPr>
        <a:xfrm flipV="1">
          <a:off x="9420225" y="1609725"/>
          <a:ext cx="971550" cy="9525"/>
        </a:xfrm>
        <a:prstGeom prst="straightConnector1">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8</xdr:col>
      <xdr:colOff>103187</xdr:colOff>
      <xdr:row>1</xdr:row>
      <xdr:rowOff>71437</xdr:rowOff>
    </xdr:from>
    <xdr:to>
      <xdr:col>9</xdr:col>
      <xdr:colOff>285750</xdr:colOff>
      <xdr:row>1</xdr:row>
      <xdr:rowOff>79370</xdr:rowOff>
    </xdr:to>
    <xdr:cxnSp macro="">
      <xdr:nvCxnSpPr>
        <xdr:cNvPr id="3" name="Conector de Seta Reta 2">
          <a:extLst>
            <a:ext uri="{FF2B5EF4-FFF2-40B4-BE49-F238E27FC236}">
              <a16:creationId xmlns:a16="http://schemas.microsoft.com/office/drawing/2014/main" id="{6401090F-936E-49E4-8CC1-B21BE1171138}"/>
            </a:ext>
          </a:extLst>
        </xdr:cNvPr>
        <xdr:cNvCxnSpPr/>
      </xdr:nvCxnSpPr>
      <xdr:spPr>
        <a:xfrm>
          <a:off x="10514012" y="366712"/>
          <a:ext cx="506413" cy="7933"/>
        </a:xfrm>
        <a:prstGeom prst="straightConnector1">
          <a:avLst/>
        </a:prstGeom>
        <a:ln>
          <a:solidFill>
            <a:srgbClr val="00B05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304800</xdr:colOff>
      <xdr:row>6</xdr:row>
      <xdr:rowOff>161925</xdr:rowOff>
    </xdr:from>
    <xdr:to>
      <xdr:col>9</xdr:col>
      <xdr:colOff>9525</xdr:colOff>
      <xdr:row>7</xdr:row>
      <xdr:rowOff>142875</xdr:rowOff>
    </xdr:to>
    <xdr:cxnSp macro="">
      <xdr:nvCxnSpPr>
        <xdr:cNvPr id="12" name="Conector de Seta Reta 11">
          <a:extLst>
            <a:ext uri="{FF2B5EF4-FFF2-40B4-BE49-F238E27FC236}">
              <a16:creationId xmlns:a16="http://schemas.microsoft.com/office/drawing/2014/main" id="{388947DD-10EC-41C2-B8A7-7BA0DB4FEB95}"/>
            </a:ext>
          </a:extLst>
        </xdr:cNvPr>
        <xdr:cNvCxnSpPr/>
      </xdr:nvCxnSpPr>
      <xdr:spPr>
        <a:xfrm flipV="1">
          <a:off x="10391775" y="1428750"/>
          <a:ext cx="352425" cy="180975"/>
        </a:xfrm>
        <a:prstGeom prst="straightConnector1">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0</xdr:col>
      <xdr:colOff>0</xdr:colOff>
      <xdr:row>6</xdr:row>
      <xdr:rowOff>0</xdr:rowOff>
    </xdr:from>
    <xdr:to>
      <xdr:col>0</xdr:col>
      <xdr:colOff>735411</xdr:colOff>
      <xdr:row>6</xdr:row>
      <xdr:rowOff>3148</xdr:rowOff>
    </xdr:to>
    <xdr:cxnSp macro="">
      <xdr:nvCxnSpPr>
        <xdr:cNvPr id="15" name="Conector de Seta Reta 14">
          <a:extLst>
            <a:ext uri="{FF2B5EF4-FFF2-40B4-BE49-F238E27FC236}">
              <a16:creationId xmlns:a16="http://schemas.microsoft.com/office/drawing/2014/main" id="{3BAC6112-892D-47DE-ACE1-D42244947E4D}"/>
            </a:ext>
          </a:extLst>
        </xdr:cNvPr>
        <xdr:cNvCxnSpPr/>
      </xdr:nvCxnSpPr>
      <xdr:spPr>
        <a:xfrm>
          <a:off x="0" y="1266825"/>
          <a:ext cx="735411" cy="3148"/>
        </a:xfrm>
        <a:prstGeom prst="straightConnector1">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9</xdr:col>
      <xdr:colOff>28575</xdr:colOff>
      <xdr:row>6</xdr:row>
      <xdr:rowOff>152400</xdr:rowOff>
    </xdr:from>
    <xdr:to>
      <xdr:col>11</xdr:col>
      <xdr:colOff>47625</xdr:colOff>
      <xdr:row>6</xdr:row>
      <xdr:rowOff>161925</xdr:rowOff>
    </xdr:to>
    <xdr:cxnSp macro="">
      <xdr:nvCxnSpPr>
        <xdr:cNvPr id="16" name="Conector de Seta Reta 15">
          <a:extLst>
            <a:ext uri="{FF2B5EF4-FFF2-40B4-BE49-F238E27FC236}">
              <a16:creationId xmlns:a16="http://schemas.microsoft.com/office/drawing/2014/main" id="{85934C6D-568A-4D3F-984F-A79E7ACD6617}"/>
            </a:ext>
          </a:extLst>
        </xdr:cNvPr>
        <xdr:cNvCxnSpPr/>
      </xdr:nvCxnSpPr>
      <xdr:spPr>
        <a:xfrm flipV="1">
          <a:off x="10763250" y="1419225"/>
          <a:ext cx="666750" cy="9525"/>
        </a:xfrm>
        <a:prstGeom prst="straightConnector1">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11</xdr:col>
      <xdr:colOff>57150</xdr:colOff>
      <xdr:row>6</xdr:row>
      <xdr:rowOff>152400</xdr:rowOff>
    </xdr:from>
    <xdr:to>
      <xdr:col>14</xdr:col>
      <xdr:colOff>28575</xdr:colOff>
      <xdr:row>6</xdr:row>
      <xdr:rowOff>152400</xdr:rowOff>
    </xdr:to>
    <xdr:cxnSp macro="">
      <xdr:nvCxnSpPr>
        <xdr:cNvPr id="23" name="Conector de Seta Reta 22">
          <a:extLst>
            <a:ext uri="{FF2B5EF4-FFF2-40B4-BE49-F238E27FC236}">
              <a16:creationId xmlns:a16="http://schemas.microsoft.com/office/drawing/2014/main" id="{7A5941BD-7A87-4580-9AA5-B4B3453C935C}"/>
            </a:ext>
          </a:extLst>
        </xdr:cNvPr>
        <xdr:cNvCxnSpPr/>
      </xdr:nvCxnSpPr>
      <xdr:spPr>
        <a:xfrm>
          <a:off x="11439525" y="1419225"/>
          <a:ext cx="942975" cy="0"/>
        </a:xfrm>
        <a:prstGeom prst="straightConnector1">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14</xdr:col>
      <xdr:colOff>19050</xdr:colOff>
      <xdr:row>6</xdr:row>
      <xdr:rowOff>161925</xdr:rowOff>
    </xdr:from>
    <xdr:to>
      <xdr:col>19</xdr:col>
      <xdr:colOff>19050</xdr:colOff>
      <xdr:row>6</xdr:row>
      <xdr:rowOff>161925</xdr:rowOff>
    </xdr:to>
    <xdr:cxnSp macro="">
      <xdr:nvCxnSpPr>
        <xdr:cNvPr id="25" name="Conector de Seta Reta 24">
          <a:extLst>
            <a:ext uri="{FF2B5EF4-FFF2-40B4-BE49-F238E27FC236}">
              <a16:creationId xmlns:a16="http://schemas.microsoft.com/office/drawing/2014/main" id="{8B658FBB-796C-43AD-8E64-942D61CEB2C3}"/>
            </a:ext>
          </a:extLst>
        </xdr:cNvPr>
        <xdr:cNvCxnSpPr/>
      </xdr:nvCxnSpPr>
      <xdr:spPr>
        <a:xfrm>
          <a:off x="12372975" y="1428750"/>
          <a:ext cx="1619250" cy="0"/>
        </a:xfrm>
        <a:prstGeom prst="straightConnector1">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13</xdr:col>
      <xdr:colOff>295275</xdr:colOff>
      <xdr:row>6</xdr:row>
      <xdr:rowOff>190500</xdr:rowOff>
    </xdr:from>
    <xdr:to>
      <xdr:col>22</xdr:col>
      <xdr:colOff>9525</xdr:colOff>
      <xdr:row>8</xdr:row>
      <xdr:rowOff>133350</xdr:rowOff>
    </xdr:to>
    <xdr:cxnSp macro="">
      <xdr:nvCxnSpPr>
        <xdr:cNvPr id="27" name="Conector de Seta Reta 26">
          <a:extLst>
            <a:ext uri="{FF2B5EF4-FFF2-40B4-BE49-F238E27FC236}">
              <a16:creationId xmlns:a16="http://schemas.microsoft.com/office/drawing/2014/main" id="{D8C234C3-339F-4EB0-8712-BD8295310535}"/>
            </a:ext>
          </a:extLst>
        </xdr:cNvPr>
        <xdr:cNvCxnSpPr/>
      </xdr:nvCxnSpPr>
      <xdr:spPr>
        <a:xfrm>
          <a:off x="12325350" y="1457325"/>
          <a:ext cx="2628900" cy="342900"/>
        </a:xfrm>
        <a:prstGeom prst="straightConnector1">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19</xdr:col>
      <xdr:colOff>38100</xdr:colOff>
      <xdr:row>6</xdr:row>
      <xdr:rowOff>161925</xdr:rowOff>
    </xdr:from>
    <xdr:to>
      <xdr:col>22</xdr:col>
      <xdr:colOff>9525</xdr:colOff>
      <xdr:row>8</xdr:row>
      <xdr:rowOff>114300</xdr:rowOff>
    </xdr:to>
    <xdr:cxnSp macro="">
      <xdr:nvCxnSpPr>
        <xdr:cNvPr id="19" name="Conector de Seta Reta 18">
          <a:extLst>
            <a:ext uri="{FF2B5EF4-FFF2-40B4-BE49-F238E27FC236}">
              <a16:creationId xmlns:a16="http://schemas.microsoft.com/office/drawing/2014/main" id="{DE1DB52F-E50B-44DA-8CB9-0A30F974E3D3}"/>
            </a:ext>
          </a:extLst>
        </xdr:cNvPr>
        <xdr:cNvCxnSpPr/>
      </xdr:nvCxnSpPr>
      <xdr:spPr>
        <a:xfrm>
          <a:off x="14011275" y="1428750"/>
          <a:ext cx="942975" cy="352425"/>
        </a:xfrm>
        <a:prstGeom prst="straightConnector1">
          <a:avLst/>
        </a:prstGeom>
        <a:ln>
          <a:solidFill>
            <a:srgbClr val="00B05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314325</xdr:colOff>
      <xdr:row>8</xdr:row>
      <xdr:rowOff>123825</xdr:rowOff>
    </xdr:from>
    <xdr:to>
      <xdr:col>23</xdr:col>
      <xdr:colOff>47625</xdr:colOff>
      <xdr:row>8</xdr:row>
      <xdr:rowOff>123826</xdr:rowOff>
    </xdr:to>
    <xdr:cxnSp macro="">
      <xdr:nvCxnSpPr>
        <xdr:cNvPr id="24" name="Conector de Seta Reta 23">
          <a:extLst>
            <a:ext uri="{FF2B5EF4-FFF2-40B4-BE49-F238E27FC236}">
              <a16:creationId xmlns:a16="http://schemas.microsoft.com/office/drawing/2014/main" id="{B2DBBE37-9CB4-4322-B112-50048400F54E}"/>
            </a:ext>
          </a:extLst>
        </xdr:cNvPr>
        <xdr:cNvCxnSpPr/>
      </xdr:nvCxnSpPr>
      <xdr:spPr>
        <a:xfrm flipV="1">
          <a:off x="14935200" y="1790700"/>
          <a:ext cx="371475" cy="1"/>
        </a:xfrm>
        <a:prstGeom prst="straightConnector1">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23</xdr:col>
      <xdr:colOff>28575</xdr:colOff>
      <xdr:row>7</xdr:row>
      <xdr:rowOff>190500</xdr:rowOff>
    </xdr:from>
    <xdr:to>
      <xdr:col>25</xdr:col>
      <xdr:colOff>38100</xdr:colOff>
      <xdr:row>8</xdr:row>
      <xdr:rowOff>123826</xdr:rowOff>
    </xdr:to>
    <xdr:cxnSp macro="">
      <xdr:nvCxnSpPr>
        <xdr:cNvPr id="26" name="Conector de Seta Reta 25">
          <a:extLst>
            <a:ext uri="{FF2B5EF4-FFF2-40B4-BE49-F238E27FC236}">
              <a16:creationId xmlns:a16="http://schemas.microsoft.com/office/drawing/2014/main" id="{E006E281-9A24-4245-8E0B-939A83B2042C}"/>
            </a:ext>
          </a:extLst>
        </xdr:cNvPr>
        <xdr:cNvCxnSpPr/>
      </xdr:nvCxnSpPr>
      <xdr:spPr>
        <a:xfrm flipV="1">
          <a:off x="15287625" y="1657350"/>
          <a:ext cx="638175" cy="133351"/>
        </a:xfrm>
        <a:prstGeom prst="straightConnector1">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25</xdr:col>
      <xdr:colOff>38100</xdr:colOff>
      <xdr:row>8</xdr:row>
      <xdr:rowOff>0</xdr:rowOff>
    </xdr:from>
    <xdr:to>
      <xdr:col>29</xdr:col>
      <xdr:colOff>9525</xdr:colOff>
      <xdr:row>8</xdr:row>
      <xdr:rowOff>1</xdr:rowOff>
    </xdr:to>
    <xdr:cxnSp macro="">
      <xdr:nvCxnSpPr>
        <xdr:cNvPr id="28" name="Conector de Seta Reta 27">
          <a:extLst>
            <a:ext uri="{FF2B5EF4-FFF2-40B4-BE49-F238E27FC236}">
              <a16:creationId xmlns:a16="http://schemas.microsoft.com/office/drawing/2014/main" id="{283DF597-9D37-4482-897B-CBEF1B7B3DBF}"/>
            </a:ext>
          </a:extLst>
        </xdr:cNvPr>
        <xdr:cNvCxnSpPr/>
      </xdr:nvCxnSpPr>
      <xdr:spPr>
        <a:xfrm flipV="1">
          <a:off x="15925800" y="1666875"/>
          <a:ext cx="1228725" cy="1"/>
        </a:xfrm>
        <a:prstGeom prst="straightConnector1">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29</xdr:col>
      <xdr:colOff>0</xdr:colOff>
      <xdr:row>7</xdr:row>
      <xdr:rowOff>0</xdr:rowOff>
    </xdr:from>
    <xdr:to>
      <xdr:col>30</xdr:col>
      <xdr:colOff>304800</xdr:colOff>
      <xdr:row>7</xdr:row>
      <xdr:rowOff>190502</xdr:rowOff>
    </xdr:to>
    <xdr:cxnSp macro="">
      <xdr:nvCxnSpPr>
        <xdr:cNvPr id="29" name="Conector de Seta Reta 28">
          <a:extLst>
            <a:ext uri="{FF2B5EF4-FFF2-40B4-BE49-F238E27FC236}">
              <a16:creationId xmlns:a16="http://schemas.microsoft.com/office/drawing/2014/main" id="{1B49ED25-D58B-433E-88CB-64E5009877EB}"/>
            </a:ext>
          </a:extLst>
        </xdr:cNvPr>
        <xdr:cNvCxnSpPr/>
      </xdr:nvCxnSpPr>
      <xdr:spPr>
        <a:xfrm flipV="1">
          <a:off x="17145000" y="1466850"/>
          <a:ext cx="619125" cy="190502"/>
        </a:xfrm>
        <a:prstGeom prst="straightConnector1">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31</xdr:col>
      <xdr:colOff>9525</xdr:colOff>
      <xdr:row>5</xdr:row>
      <xdr:rowOff>190501</xdr:rowOff>
    </xdr:from>
    <xdr:to>
      <xdr:col>33</xdr:col>
      <xdr:colOff>0</xdr:colOff>
      <xdr:row>6</xdr:row>
      <xdr:rowOff>190500</xdr:rowOff>
    </xdr:to>
    <xdr:cxnSp macro="">
      <xdr:nvCxnSpPr>
        <xdr:cNvPr id="31" name="Conector de Seta Reta 30">
          <a:extLst>
            <a:ext uri="{FF2B5EF4-FFF2-40B4-BE49-F238E27FC236}">
              <a16:creationId xmlns:a16="http://schemas.microsoft.com/office/drawing/2014/main" id="{329DEB86-9269-41F1-B843-B6D18D6CBFE4}"/>
            </a:ext>
          </a:extLst>
        </xdr:cNvPr>
        <xdr:cNvCxnSpPr/>
      </xdr:nvCxnSpPr>
      <xdr:spPr>
        <a:xfrm flipV="1">
          <a:off x="17783175" y="1257301"/>
          <a:ext cx="619125" cy="200024"/>
        </a:xfrm>
        <a:prstGeom prst="straightConnector1">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33</xdr:col>
      <xdr:colOff>0</xdr:colOff>
      <xdr:row>5</xdr:row>
      <xdr:rowOff>180975</xdr:rowOff>
    </xdr:from>
    <xdr:to>
      <xdr:col>35</xdr:col>
      <xdr:colOff>38100</xdr:colOff>
      <xdr:row>5</xdr:row>
      <xdr:rowOff>190500</xdr:rowOff>
    </xdr:to>
    <xdr:cxnSp macro="">
      <xdr:nvCxnSpPr>
        <xdr:cNvPr id="32" name="Conector de Seta Reta 31">
          <a:extLst>
            <a:ext uri="{FF2B5EF4-FFF2-40B4-BE49-F238E27FC236}">
              <a16:creationId xmlns:a16="http://schemas.microsoft.com/office/drawing/2014/main" id="{C223AB20-7028-4C8D-93E3-887FA66E3E7C}"/>
            </a:ext>
          </a:extLst>
        </xdr:cNvPr>
        <xdr:cNvCxnSpPr/>
      </xdr:nvCxnSpPr>
      <xdr:spPr>
        <a:xfrm flipV="1">
          <a:off x="18402300" y="1247775"/>
          <a:ext cx="666750" cy="9525"/>
        </a:xfrm>
        <a:prstGeom prst="straightConnector1">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35</xdr:col>
      <xdr:colOff>0</xdr:colOff>
      <xdr:row>6</xdr:row>
      <xdr:rowOff>1</xdr:rowOff>
    </xdr:from>
    <xdr:to>
      <xdr:col>36</xdr:col>
      <xdr:colOff>9525</xdr:colOff>
      <xdr:row>7</xdr:row>
      <xdr:rowOff>0</xdr:rowOff>
    </xdr:to>
    <xdr:cxnSp macro="">
      <xdr:nvCxnSpPr>
        <xdr:cNvPr id="33" name="Conector de Seta Reta 32">
          <a:extLst>
            <a:ext uri="{FF2B5EF4-FFF2-40B4-BE49-F238E27FC236}">
              <a16:creationId xmlns:a16="http://schemas.microsoft.com/office/drawing/2014/main" id="{1DB45F14-D4C6-4AA9-9AED-226263D73087}"/>
            </a:ext>
          </a:extLst>
        </xdr:cNvPr>
        <xdr:cNvCxnSpPr/>
      </xdr:nvCxnSpPr>
      <xdr:spPr>
        <a:xfrm>
          <a:off x="19030950" y="1266826"/>
          <a:ext cx="323850" cy="200024"/>
        </a:xfrm>
        <a:prstGeom prst="straightConnector1">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35</xdr:col>
      <xdr:colOff>276225</xdr:colOff>
      <xdr:row>7</xdr:row>
      <xdr:rowOff>0</xdr:rowOff>
    </xdr:from>
    <xdr:to>
      <xdr:col>37</xdr:col>
      <xdr:colOff>28575</xdr:colOff>
      <xdr:row>7</xdr:row>
      <xdr:rowOff>9526</xdr:rowOff>
    </xdr:to>
    <xdr:cxnSp macro="">
      <xdr:nvCxnSpPr>
        <xdr:cNvPr id="35" name="Conector de Seta Reta 34">
          <a:extLst>
            <a:ext uri="{FF2B5EF4-FFF2-40B4-BE49-F238E27FC236}">
              <a16:creationId xmlns:a16="http://schemas.microsoft.com/office/drawing/2014/main" id="{564FB74F-B531-4A4C-B7DF-B7540CE683D9}"/>
            </a:ext>
          </a:extLst>
        </xdr:cNvPr>
        <xdr:cNvCxnSpPr/>
      </xdr:nvCxnSpPr>
      <xdr:spPr>
        <a:xfrm flipV="1">
          <a:off x="19307175" y="1466850"/>
          <a:ext cx="390525" cy="9526"/>
        </a:xfrm>
        <a:prstGeom prst="straightConnector1">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37</xdr:col>
      <xdr:colOff>19050</xdr:colOff>
      <xdr:row>6</xdr:row>
      <xdr:rowOff>180975</xdr:rowOff>
    </xdr:from>
    <xdr:to>
      <xdr:col>39</xdr:col>
      <xdr:colOff>57150</xdr:colOff>
      <xdr:row>6</xdr:row>
      <xdr:rowOff>190500</xdr:rowOff>
    </xdr:to>
    <xdr:cxnSp macro="">
      <xdr:nvCxnSpPr>
        <xdr:cNvPr id="37" name="Conector de Seta Reta 36">
          <a:extLst>
            <a:ext uri="{FF2B5EF4-FFF2-40B4-BE49-F238E27FC236}">
              <a16:creationId xmlns:a16="http://schemas.microsoft.com/office/drawing/2014/main" id="{2F4402CE-07F3-4E9F-BE6D-747088AF329E}"/>
            </a:ext>
          </a:extLst>
        </xdr:cNvPr>
        <xdr:cNvCxnSpPr/>
      </xdr:nvCxnSpPr>
      <xdr:spPr>
        <a:xfrm flipV="1">
          <a:off x="19688175" y="1447800"/>
          <a:ext cx="666750" cy="9525"/>
        </a:xfrm>
        <a:prstGeom prst="straightConnector1">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39</xdr:col>
      <xdr:colOff>0</xdr:colOff>
      <xdr:row>7</xdr:row>
      <xdr:rowOff>1</xdr:rowOff>
    </xdr:from>
    <xdr:to>
      <xdr:col>43</xdr:col>
      <xdr:colOff>19050</xdr:colOff>
      <xdr:row>7</xdr:row>
      <xdr:rowOff>190500</xdr:rowOff>
    </xdr:to>
    <xdr:cxnSp macro="">
      <xdr:nvCxnSpPr>
        <xdr:cNvPr id="38" name="Conector de Seta Reta 37">
          <a:extLst>
            <a:ext uri="{FF2B5EF4-FFF2-40B4-BE49-F238E27FC236}">
              <a16:creationId xmlns:a16="http://schemas.microsoft.com/office/drawing/2014/main" id="{837FE7C8-C144-4B70-8728-97E0B1ECFBCF}"/>
            </a:ext>
          </a:extLst>
        </xdr:cNvPr>
        <xdr:cNvCxnSpPr/>
      </xdr:nvCxnSpPr>
      <xdr:spPr>
        <a:xfrm>
          <a:off x="20297775" y="1466851"/>
          <a:ext cx="1276350" cy="190499"/>
        </a:xfrm>
        <a:prstGeom prst="straightConnector1">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42</xdr:col>
      <xdr:colOff>304800</xdr:colOff>
      <xdr:row>7</xdr:row>
      <xdr:rowOff>190501</xdr:rowOff>
    </xdr:from>
    <xdr:to>
      <xdr:col>47</xdr:col>
      <xdr:colOff>304800</xdr:colOff>
      <xdr:row>8</xdr:row>
      <xdr:rowOff>0</xdr:rowOff>
    </xdr:to>
    <xdr:cxnSp macro="">
      <xdr:nvCxnSpPr>
        <xdr:cNvPr id="40" name="Conector de Seta Reta 39">
          <a:extLst>
            <a:ext uri="{FF2B5EF4-FFF2-40B4-BE49-F238E27FC236}">
              <a16:creationId xmlns:a16="http://schemas.microsoft.com/office/drawing/2014/main" id="{1B917C3C-FB4C-408C-A16E-9DC8D68A2180}"/>
            </a:ext>
          </a:extLst>
        </xdr:cNvPr>
        <xdr:cNvCxnSpPr/>
      </xdr:nvCxnSpPr>
      <xdr:spPr>
        <a:xfrm>
          <a:off x="21545550" y="1657351"/>
          <a:ext cx="1571625" cy="9524"/>
        </a:xfrm>
        <a:prstGeom prst="straightConnector1">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47</xdr:col>
      <xdr:colOff>295275</xdr:colOff>
      <xdr:row>7</xdr:row>
      <xdr:rowOff>19050</xdr:rowOff>
    </xdr:from>
    <xdr:to>
      <xdr:col>48</xdr:col>
      <xdr:colOff>295275</xdr:colOff>
      <xdr:row>8</xdr:row>
      <xdr:rowOff>9526</xdr:rowOff>
    </xdr:to>
    <xdr:cxnSp macro="">
      <xdr:nvCxnSpPr>
        <xdr:cNvPr id="43" name="Conector de Seta Reta 42">
          <a:extLst>
            <a:ext uri="{FF2B5EF4-FFF2-40B4-BE49-F238E27FC236}">
              <a16:creationId xmlns:a16="http://schemas.microsoft.com/office/drawing/2014/main" id="{B8A9E03B-9786-430B-B2CD-03E223DB84F4}"/>
            </a:ext>
          </a:extLst>
        </xdr:cNvPr>
        <xdr:cNvCxnSpPr/>
      </xdr:nvCxnSpPr>
      <xdr:spPr>
        <a:xfrm flipV="1">
          <a:off x="23107650" y="1485900"/>
          <a:ext cx="314325" cy="190501"/>
        </a:xfrm>
        <a:prstGeom prst="straightConnector1">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48</xdr:col>
      <xdr:colOff>276225</xdr:colOff>
      <xdr:row>7</xdr:row>
      <xdr:rowOff>1</xdr:rowOff>
    </xdr:from>
    <xdr:to>
      <xdr:col>52</xdr:col>
      <xdr:colOff>590550</xdr:colOff>
      <xdr:row>7</xdr:row>
      <xdr:rowOff>9525</xdr:rowOff>
    </xdr:to>
    <xdr:cxnSp macro="">
      <xdr:nvCxnSpPr>
        <xdr:cNvPr id="45" name="Conector de Seta Reta 44">
          <a:extLst>
            <a:ext uri="{FF2B5EF4-FFF2-40B4-BE49-F238E27FC236}">
              <a16:creationId xmlns:a16="http://schemas.microsoft.com/office/drawing/2014/main" id="{53239752-2E76-4014-89B0-DF7C452646CB}"/>
            </a:ext>
          </a:extLst>
        </xdr:cNvPr>
        <xdr:cNvCxnSpPr/>
      </xdr:nvCxnSpPr>
      <xdr:spPr>
        <a:xfrm>
          <a:off x="23402925" y="1466851"/>
          <a:ext cx="1571625" cy="9524"/>
        </a:xfrm>
        <a:prstGeom prst="straightConnector1">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53</xdr:col>
      <xdr:colOff>0</xdr:colOff>
      <xdr:row>7</xdr:row>
      <xdr:rowOff>1</xdr:rowOff>
    </xdr:from>
    <xdr:to>
      <xdr:col>57</xdr:col>
      <xdr:colOff>0</xdr:colOff>
      <xdr:row>7</xdr:row>
      <xdr:rowOff>9525</xdr:rowOff>
    </xdr:to>
    <xdr:cxnSp macro="">
      <xdr:nvCxnSpPr>
        <xdr:cNvPr id="49" name="Conector de Seta Reta 48">
          <a:extLst>
            <a:ext uri="{FF2B5EF4-FFF2-40B4-BE49-F238E27FC236}">
              <a16:creationId xmlns:a16="http://schemas.microsoft.com/office/drawing/2014/main" id="{7A1D697F-6E69-456B-955E-3E23718D92A3}"/>
            </a:ext>
          </a:extLst>
        </xdr:cNvPr>
        <xdr:cNvCxnSpPr/>
      </xdr:nvCxnSpPr>
      <xdr:spPr>
        <a:xfrm>
          <a:off x="24736425" y="1466851"/>
          <a:ext cx="1419225" cy="9524"/>
        </a:xfrm>
        <a:prstGeom prst="straightConnector1">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57</xdr:col>
      <xdr:colOff>9525</xdr:colOff>
      <xdr:row>5</xdr:row>
      <xdr:rowOff>38101</xdr:rowOff>
    </xdr:from>
    <xdr:to>
      <xdr:col>58</xdr:col>
      <xdr:colOff>304800</xdr:colOff>
      <xdr:row>6</xdr:row>
      <xdr:rowOff>180975</xdr:rowOff>
    </xdr:to>
    <xdr:cxnSp macro="">
      <xdr:nvCxnSpPr>
        <xdr:cNvPr id="51" name="Conector de Seta Reta 50">
          <a:extLst>
            <a:ext uri="{FF2B5EF4-FFF2-40B4-BE49-F238E27FC236}">
              <a16:creationId xmlns:a16="http://schemas.microsoft.com/office/drawing/2014/main" id="{746323D3-431E-4AA9-9E7A-97BBCE2D31C4}"/>
            </a:ext>
          </a:extLst>
        </xdr:cNvPr>
        <xdr:cNvCxnSpPr/>
      </xdr:nvCxnSpPr>
      <xdr:spPr>
        <a:xfrm flipV="1">
          <a:off x="26165175" y="1104901"/>
          <a:ext cx="657225" cy="342899"/>
        </a:xfrm>
        <a:prstGeom prst="straightConnector1">
          <a:avLst/>
        </a:prstGeom>
        <a:ln w="9525" cap="flat" cmpd="sng" algn="ctr">
          <a:solidFill>
            <a:srgbClr val="FF0000"/>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23</xdr:col>
      <xdr:colOff>19050</xdr:colOff>
      <xdr:row>8</xdr:row>
      <xdr:rowOff>38100</xdr:rowOff>
    </xdr:from>
    <xdr:to>
      <xdr:col>28</xdr:col>
      <xdr:colOff>257175</xdr:colOff>
      <xdr:row>8</xdr:row>
      <xdr:rowOff>171450</xdr:rowOff>
    </xdr:to>
    <xdr:cxnSp macro="">
      <xdr:nvCxnSpPr>
        <xdr:cNvPr id="53" name="Conector de Seta Reta 52">
          <a:extLst>
            <a:ext uri="{FF2B5EF4-FFF2-40B4-BE49-F238E27FC236}">
              <a16:creationId xmlns:a16="http://schemas.microsoft.com/office/drawing/2014/main" id="{1632E57C-3A4F-457D-A610-61BFD6BA2EEB}"/>
            </a:ext>
          </a:extLst>
        </xdr:cNvPr>
        <xdr:cNvCxnSpPr/>
      </xdr:nvCxnSpPr>
      <xdr:spPr>
        <a:xfrm flipV="1">
          <a:off x="15278100" y="1704975"/>
          <a:ext cx="1809750" cy="133350"/>
        </a:xfrm>
        <a:prstGeom prst="straightConnector1">
          <a:avLst/>
        </a:prstGeom>
        <a:ln>
          <a:solidFill>
            <a:srgbClr val="00B05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228600</xdr:colOff>
      <xdr:row>6</xdr:row>
      <xdr:rowOff>28575</xdr:rowOff>
    </xdr:from>
    <xdr:to>
      <xdr:col>35</xdr:col>
      <xdr:colOff>0</xdr:colOff>
      <xdr:row>7</xdr:row>
      <xdr:rowOff>9525</xdr:rowOff>
    </xdr:to>
    <xdr:cxnSp macro="">
      <xdr:nvCxnSpPr>
        <xdr:cNvPr id="59" name="Conector de Seta Reta 58">
          <a:extLst>
            <a:ext uri="{FF2B5EF4-FFF2-40B4-BE49-F238E27FC236}">
              <a16:creationId xmlns:a16="http://schemas.microsoft.com/office/drawing/2014/main" id="{9675D8E1-5859-4A79-9E1E-C4AC06C34CE6}"/>
            </a:ext>
          </a:extLst>
        </xdr:cNvPr>
        <xdr:cNvCxnSpPr/>
      </xdr:nvCxnSpPr>
      <xdr:spPr>
        <a:xfrm flipV="1">
          <a:off x="17687925" y="1295400"/>
          <a:ext cx="1343025" cy="180975"/>
        </a:xfrm>
        <a:prstGeom prst="straightConnector1">
          <a:avLst/>
        </a:prstGeom>
        <a:ln>
          <a:solidFill>
            <a:srgbClr val="00B05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285750</xdr:colOff>
      <xdr:row>5</xdr:row>
      <xdr:rowOff>161925</xdr:rowOff>
    </xdr:from>
    <xdr:to>
      <xdr:col>39</xdr:col>
      <xdr:colOff>47625</xdr:colOff>
      <xdr:row>7</xdr:row>
      <xdr:rowOff>0</xdr:rowOff>
    </xdr:to>
    <xdr:cxnSp macro="">
      <xdr:nvCxnSpPr>
        <xdr:cNvPr id="61" name="Conector de Seta Reta 60">
          <a:extLst>
            <a:ext uri="{FF2B5EF4-FFF2-40B4-BE49-F238E27FC236}">
              <a16:creationId xmlns:a16="http://schemas.microsoft.com/office/drawing/2014/main" id="{45011B4E-E1ED-4705-8E1D-475800F9E852}"/>
            </a:ext>
          </a:extLst>
        </xdr:cNvPr>
        <xdr:cNvCxnSpPr/>
      </xdr:nvCxnSpPr>
      <xdr:spPr>
        <a:xfrm>
          <a:off x="19002375" y="1228725"/>
          <a:ext cx="1343025" cy="238125"/>
        </a:xfrm>
        <a:prstGeom prst="straightConnector1">
          <a:avLst/>
        </a:prstGeom>
        <a:ln>
          <a:solidFill>
            <a:srgbClr val="00B05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19050</xdr:colOff>
      <xdr:row>6</xdr:row>
      <xdr:rowOff>161925</xdr:rowOff>
    </xdr:from>
    <xdr:to>
      <xdr:col>47</xdr:col>
      <xdr:colOff>295275</xdr:colOff>
      <xdr:row>7</xdr:row>
      <xdr:rowOff>190500</xdr:rowOff>
    </xdr:to>
    <xdr:cxnSp macro="">
      <xdr:nvCxnSpPr>
        <xdr:cNvPr id="64" name="Conector de Seta Reta 63">
          <a:extLst>
            <a:ext uri="{FF2B5EF4-FFF2-40B4-BE49-F238E27FC236}">
              <a16:creationId xmlns:a16="http://schemas.microsoft.com/office/drawing/2014/main" id="{F26D37E8-FD6D-4D66-ADDD-05C58745D9A2}"/>
            </a:ext>
          </a:extLst>
        </xdr:cNvPr>
        <xdr:cNvCxnSpPr/>
      </xdr:nvCxnSpPr>
      <xdr:spPr>
        <a:xfrm>
          <a:off x="20316825" y="1428750"/>
          <a:ext cx="2790825" cy="228600"/>
        </a:xfrm>
        <a:prstGeom prst="straightConnector1">
          <a:avLst/>
        </a:prstGeom>
        <a:ln>
          <a:solidFill>
            <a:srgbClr val="00B05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285750</xdr:colOff>
      <xdr:row>6</xdr:row>
      <xdr:rowOff>190500</xdr:rowOff>
    </xdr:from>
    <xdr:to>
      <xdr:col>48</xdr:col>
      <xdr:colOff>295275</xdr:colOff>
      <xdr:row>8</xdr:row>
      <xdr:rowOff>1</xdr:rowOff>
    </xdr:to>
    <xdr:cxnSp macro="">
      <xdr:nvCxnSpPr>
        <xdr:cNvPr id="67" name="Conector de Seta Reta 66">
          <a:extLst>
            <a:ext uri="{FF2B5EF4-FFF2-40B4-BE49-F238E27FC236}">
              <a16:creationId xmlns:a16="http://schemas.microsoft.com/office/drawing/2014/main" id="{30A0A3EA-6572-4749-BE7D-3C7819249D95}"/>
            </a:ext>
          </a:extLst>
        </xdr:cNvPr>
        <xdr:cNvCxnSpPr/>
      </xdr:nvCxnSpPr>
      <xdr:spPr>
        <a:xfrm flipV="1">
          <a:off x="21526500" y="1457325"/>
          <a:ext cx="1895475" cy="209551"/>
        </a:xfrm>
        <a:prstGeom prst="straightConnector1">
          <a:avLst/>
        </a:prstGeom>
        <a:ln>
          <a:solidFill>
            <a:srgbClr val="00B050"/>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158647</xdr:colOff>
      <xdr:row>0</xdr:row>
      <xdr:rowOff>36551</xdr:rowOff>
    </xdr:from>
    <xdr:to>
      <xdr:col>4</xdr:col>
      <xdr:colOff>765719</xdr:colOff>
      <xdr:row>6</xdr:row>
      <xdr:rowOff>57151</xdr:rowOff>
    </xdr:to>
    <xdr:pic>
      <xdr:nvPicPr>
        <xdr:cNvPr id="2" name="Imagem 1" descr="Cannoli.food | LinkedIn">
          <a:extLst>
            <a:ext uri="{FF2B5EF4-FFF2-40B4-BE49-F238E27FC236}">
              <a16:creationId xmlns:a16="http://schemas.microsoft.com/office/drawing/2014/main" id="{CB73D05B-C1B2-4815-A6D8-10C2A899A7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45297" y="36551"/>
          <a:ext cx="607072" cy="992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6</xdr:col>
      <xdr:colOff>1722120</xdr:colOff>
      <xdr:row>5</xdr:row>
      <xdr:rowOff>106680</xdr:rowOff>
    </xdr:from>
    <xdr:to>
      <xdr:col>7</xdr:col>
      <xdr:colOff>578256</xdr:colOff>
      <xdr:row>5</xdr:row>
      <xdr:rowOff>682692</xdr:rowOff>
    </xdr:to>
    <xdr:pic>
      <xdr:nvPicPr>
        <xdr:cNvPr id="3" name="Imagem 2" descr="Logotipo De Saúde E Bem Estar Design De Logotipo De Centro ...">
          <a:extLst>
            <a:ext uri="{FF2B5EF4-FFF2-40B4-BE49-F238E27FC236}">
              <a16:creationId xmlns:a16="http://schemas.microsoft.com/office/drawing/2014/main" id="{1966306E-CCB0-47BD-8F3C-25E25D20A422}"/>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8875395" y="1573530"/>
          <a:ext cx="580161" cy="5760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87743</xdr:colOff>
      <xdr:row>25</xdr:row>
      <xdr:rowOff>54596</xdr:rowOff>
    </xdr:from>
    <xdr:to>
      <xdr:col>5</xdr:col>
      <xdr:colOff>1102893</xdr:colOff>
      <xdr:row>75</xdr:row>
      <xdr:rowOff>89646</xdr:rowOff>
    </xdr:to>
    <xdr:pic>
      <xdr:nvPicPr>
        <xdr:cNvPr id="2" name="Imagem 1">
          <a:extLst>
            <a:ext uri="{FF2B5EF4-FFF2-40B4-BE49-F238E27FC236}">
              <a16:creationId xmlns:a16="http://schemas.microsoft.com/office/drawing/2014/main" id="{FF6040BA-B53C-49BF-A021-50D97D51D1DB}"/>
            </a:ext>
          </a:extLst>
        </xdr:cNvPr>
        <xdr:cNvPicPr>
          <a:picLocks noChangeAspect="1"/>
        </xdr:cNvPicPr>
      </xdr:nvPicPr>
      <xdr:blipFill>
        <a:blip xmlns:r="http://schemas.openxmlformats.org/officeDocument/2006/relationships" r:embed="rId1"/>
        <a:stretch>
          <a:fillRect/>
        </a:stretch>
      </xdr:blipFill>
      <xdr:spPr>
        <a:xfrm>
          <a:off x="697343" y="4178921"/>
          <a:ext cx="5606200" cy="8131300"/>
        </a:xfrm>
        <a:prstGeom prst="rect">
          <a:avLst/>
        </a:prstGeom>
      </xdr:spPr>
    </xdr:pic>
    <xdr:clientData/>
  </xdr:twoCellAnchor>
  <xdr:twoCellAnchor editAs="oneCell">
    <xdr:from>
      <xdr:col>10</xdr:col>
      <xdr:colOff>37455</xdr:colOff>
      <xdr:row>32</xdr:row>
      <xdr:rowOff>11206</xdr:rowOff>
    </xdr:from>
    <xdr:to>
      <xdr:col>17</xdr:col>
      <xdr:colOff>481311</xdr:colOff>
      <xdr:row>73</xdr:row>
      <xdr:rowOff>145676</xdr:rowOff>
    </xdr:to>
    <xdr:pic>
      <xdr:nvPicPr>
        <xdr:cNvPr id="3" name="Imagem 2">
          <a:extLst>
            <a:ext uri="{FF2B5EF4-FFF2-40B4-BE49-F238E27FC236}">
              <a16:creationId xmlns:a16="http://schemas.microsoft.com/office/drawing/2014/main" id="{FC0ED76D-DA87-432E-A712-4641F1F6F092}"/>
            </a:ext>
          </a:extLst>
        </xdr:cNvPr>
        <xdr:cNvPicPr>
          <a:picLocks noChangeAspect="1"/>
        </xdr:cNvPicPr>
      </xdr:nvPicPr>
      <xdr:blipFill>
        <a:blip xmlns:r="http://schemas.openxmlformats.org/officeDocument/2006/relationships" r:embed="rId2"/>
        <a:stretch>
          <a:fillRect/>
        </a:stretch>
      </xdr:blipFill>
      <xdr:spPr>
        <a:xfrm>
          <a:off x="8848080" y="5269006"/>
          <a:ext cx="4711056" cy="6773395"/>
        </a:xfrm>
        <a:prstGeom prst="rect">
          <a:avLst/>
        </a:prstGeom>
      </xdr:spPr>
    </xdr:pic>
    <xdr:clientData/>
  </xdr:twoCellAnchor>
  <xdr:twoCellAnchor editAs="oneCell">
    <xdr:from>
      <xdr:col>10</xdr:col>
      <xdr:colOff>33619</xdr:colOff>
      <xdr:row>72</xdr:row>
      <xdr:rowOff>54860</xdr:rowOff>
    </xdr:from>
    <xdr:to>
      <xdr:col>17</xdr:col>
      <xdr:colOff>165260</xdr:colOff>
      <xdr:row>89</xdr:row>
      <xdr:rowOff>136538</xdr:rowOff>
    </xdr:to>
    <xdr:pic>
      <xdr:nvPicPr>
        <xdr:cNvPr id="4" name="Imagem 3">
          <a:extLst>
            <a:ext uri="{FF2B5EF4-FFF2-40B4-BE49-F238E27FC236}">
              <a16:creationId xmlns:a16="http://schemas.microsoft.com/office/drawing/2014/main" id="{6E620589-A669-49F4-BA21-A9E617686823}"/>
            </a:ext>
          </a:extLst>
        </xdr:cNvPr>
        <xdr:cNvPicPr>
          <a:picLocks noChangeAspect="1"/>
        </xdr:cNvPicPr>
      </xdr:nvPicPr>
      <xdr:blipFill>
        <a:blip xmlns:r="http://schemas.openxmlformats.org/officeDocument/2006/relationships" r:embed="rId3"/>
        <a:stretch>
          <a:fillRect/>
        </a:stretch>
      </xdr:blipFill>
      <xdr:spPr>
        <a:xfrm>
          <a:off x="8844244" y="11789660"/>
          <a:ext cx="4398841" cy="283440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390525</xdr:colOff>
      <xdr:row>4</xdr:row>
      <xdr:rowOff>76200</xdr:rowOff>
    </xdr:from>
    <xdr:to>
      <xdr:col>16</xdr:col>
      <xdr:colOff>86874</xdr:colOff>
      <xdr:row>29</xdr:row>
      <xdr:rowOff>29133</xdr:rowOff>
    </xdr:to>
    <xdr:pic>
      <xdr:nvPicPr>
        <xdr:cNvPr id="2" name="Imagem 1">
          <a:extLst>
            <a:ext uri="{FF2B5EF4-FFF2-40B4-BE49-F238E27FC236}">
              <a16:creationId xmlns:a16="http://schemas.microsoft.com/office/drawing/2014/main" id="{76374263-123A-474E-A41F-D63780286630}"/>
            </a:ext>
          </a:extLst>
        </xdr:cNvPr>
        <xdr:cNvPicPr>
          <a:picLocks noChangeAspect="1"/>
        </xdr:cNvPicPr>
      </xdr:nvPicPr>
      <xdr:blipFill>
        <a:blip xmlns:r="http://schemas.openxmlformats.org/officeDocument/2006/relationships" r:embed="rId1"/>
        <a:stretch>
          <a:fillRect/>
        </a:stretch>
      </xdr:blipFill>
      <xdr:spPr>
        <a:xfrm>
          <a:off x="1609725" y="723900"/>
          <a:ext cx="8230749" cy="400105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3</xdr:col>
      <xdr:colOff>257175</xdr:colOff>
      <xdr:row>0</xdr:row>
      <xdr:rowOff>95250</xdr:rowOff>
    </xdr:from>
    <xdr:to>
      <xdr:col>3</xdr:col>
      <xdr:colOff>1228725</xdr:colOff>
      <xdr:row>4</xdr:row>
      <xdr:rowOff>0</xdr:rowOff>
    </xdr:to>
    <xdr:pic>
      <xdr:nvPicPr>
        <xdr:cNvPr id="2" name="Imagem 1" descr="Logotipo De Saúde E Bem Estar Design De Logotipo De Centro ...">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800100" y="95250"/>
          <a:ext cx="971550" cy="10775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Eduardo/Google%20Drive/Escritorio%20de%20Projetos/Modelos/02-Planejamento/Estimativas%20de%20Custo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esources/directory/32a430fa-0843-4045-aaf0-553c90496470.ExcelAutomationServiceFrontend.WorkingDir/NoAVScans/c3e9926f-4891-4bc7-9551-dd8e77df89b2/in/Gr&#225;fico%20de%20Gantt%20simple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Eduardo/Dropbox/BDS%20-%20Projeto%20B3/Portfolio%20de%20Projetos.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a"/>
      <sheetName val="Estimativas"/>
      <sheetName val="Param"/>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onogramaDeProjeto"/>
      <sheetName val="Sobre"/>
    </sheetNames>
    <sheetDataSet>
      <sheetData sheetId="0">
        <row r="8">
          <cell r="H8" t="str">
            <v/>
          </cell>
        </row>
        <row r="9">
          <cell r="E9">
            <v>45174</v>
          </cell>
          <cell r="F9">
            <v>45177</v>
          </cell>
        </row>
        <row r="10">
          <cell r="E10">
            <v>45177</v>
          </cell>
          <cell r="F10">
            <v>45179</v>
          </cell>
          <cell r="H10">
            <v>3</v>
          </cell>
        </row>
        <row r="11">
          <cell r="E11">
            <v>45179</v>
          </cell>
          <cell r="F11">
            <v>45183</v>
          </cell>
          <cell r="H11">
            <v>5</v>
          </cell>
        </row>
        <row r="12">
          <cell r="E12">
            <v>45183</v>
          </cell>
          <cell r="F12">
            <v>45188</v>
          </cell>
          <cell r="H12">
            <v>6</v>
          </cell>
        </row>
        <row r="13">
          <cell r="E13">
            <v>45178</v>
          </cell>
          <cell r="F13">
            <v>45180</v>
          </cell>
          <cell r="H13">
            <v>3</v>
          </cell>
        </row>
        <row r="14">
          <cell r="H14" t="str">
            <v/>
          </cell>
        </row>
        <row r="15">
          <cell r="E15">
            <v>45179</v>
          </cell>
          <cell r="F15">
            <v>45183</v>
          </cell>
          <cell r="H15">
            <v>5</v>
          </cell>
        </row>
        <row r="16">
          <cell r="E16">
            <v>45181</v>
          </cell>
          <cell r="F16">
            <v>45186</v>
          </cell>
          <cell r="H16">
            <v>6</v>
          </cell>
        </row>
        <row r="17">
          <cell r="E17">
            <v>45186</v>
          </cell>
          <cell r="F17">
            <v>45189</v>
          </cell>
          <cell r="H17">
            <v>4</v>
          </cell>
        </row>
        <row r="18">
          <cell r="E18">
            <v>45186</v>
          </cell>
          <cell r="F18">
            <v>45188</v>
          </cell>
          <cell r="H18">
            <v>3</v>
          </cell>
        </row>
        <row r="19">
          <cell r="E19">
            <v>45186</v>
          </cell>
          <cell r="F19">
            <v>45189</v>
          </cell>
          <cell r="H19">
            <v>4</v>
          </cell>
        </row>
        <row r="20">
          <cell r="H20" t="str">
            <v/>
          </cell>
        </row>
        <row r="21">
          <cell r="E21">
            <v>45189</v>
          </cell>
          <cell r="F21">
            <v>45194</v>
          </cell>
          <cell r="H21">
            <v>6</v>
          </cell>
        </row>
        <row r="22">
          <cell r="E22">
            <v>45195</v>
          </cell>
          <cell r="F22">
            <v>45199</v>
          </cell>
          <cell r="H22">
            <v>5</v>
          </cell>
        </row>
        <row r="23">
          <cell r="E23">
            <v>45200</v>
          </cell>
          <cell r="F23">
            <v>45205</v>
          </cell>
          <cell r="H23">
            <v>6</v>
          </cell>
        </row>
        <row r="24">
          <cell r="E24">
            <v>45206</v>
          </cell>
          <cell r="F24">
            <v>45210</v>
          </cell>
          <cell r="H24">
            <v>5</v>
          </cell>
        </row>
        <row r="25">
          <cell r="E25">
            <v>45200</v>
          </cell>
          <cell r="F25">
            <v>45204</v>
          </cell>
          <cell r="H25">
            <v>5</v>
          </cell>
        </row>
        <row r="26">
          <cell r="H26" t="str">
            <v/>
          </cell>
        </row>
        <row r="27">
          <cell r="E27" t="str">
            <v>data</v>
          </cell>
          <cell r="F27" t="str">
            <v>data</v>
          </cell>
          <cell r="H27" t="e">
            <v>#VALUE!</v>
          </cell>
        </row>
        <row r="28">
          <cell r="E28" t="str">
            <v>data</v>
          </cell>
          <cell r="F28" t="str">
            <v>data</v>
          </cell>
          <cell r="H28" t="e">
            <v>#VALUE!</v>
          </cell>
        </row>
        <row r="29">
          <cell r="E29" t="str">
            <v>data</v>
          </cell>
          <cell r="F29" t="str">
            <v>data</v>
          </cell>
          <cell r="H29" t="e">
            <v>#VALUE!</v>
          </cell>
        </row>
        <row r="30">
          <cell r="E30" t="str">
            <v>data</v>
          </cell>
          <cell r="F30" t="str">
            <v>data</v>
          </cell>
          <cell r="H30" t="e">
            <v>#VALUE!</v>
          </cell>
        </row>
        <row r="31">
          <cell r="E31" t="str">
            <v>data</v>
          </cell>
          <cell r="F31" t="str">
            <v>data</v>
          </cell>
          <cell r="H31" t="e">
            <v>#VALUE!</v>
          </cell>
        </row>
        <row r="32">
          <cell r="H32" t="str">
            <v/>
          </cell>
        </row>
        <row r="33">
          <cell r="H33" t="str">
            <v/>
          </cell>
        </row>
      </sheetData>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a"/>
      <sheetName val="Projetos"/>
      <sheetName val="Budget"/>
      <sheetName val="Config"/>
      <sheetName val="Issues"/>
      <sheetName val="Pendencias"/>
      <sheetName val="Pool"/>
      <sheetName val="Project"/>
      <sheetName val="Param"/>
      <sheetName val="Status"/>
      <sheetName val="SR"/>
      <sheetName val="SR.Modelo"/>
      <sheetName val="Prj-Venc"/>
      <sheetName val="Prj-Andam"/>
      <sheetName val="Prj-Prox"/>
      <sheetName val="Prj-Entr"/>
      <sheetName val="Prj-Concl"/>
      <sheetName val="Prj-FaseAtual"/>
      <sheetName val="Prj-NConc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5">
          <cell r="AB5" t="str">
            <v>Diária</v>
          </cell>
        </row>
        <row r="6">
          <cell r="AB6" t="str">
            <v>Semanal</v>
          </cell>
        </row>
        <row r="7">
          <cell r="AB7" t="str">
            <v>Bissemanal</v>
          </cell>
        </row>
        <row r="8">
          <cell r="AB8" t="str">
            <v>Mensal</v>
          </cell>
        </row>
        <row r="15">
          <cell r="D15" t="str">
            <v>Pt-br</v>
          </cell>
          <cell r="E15" t="str">
            <v>Inglês</v>
          </cell>
        </row>
        <row r="24">
          <cell r="C24" t="str">
            <v>Cliente</v>
          </cell>
        </row>
        <row r="25">
          <cell r="C25" t="str">
            <v>Interno</v>
          </cell>
        </row>
        <row r="26">
          <cell r="C26" t="str">
            <v>Teste</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y Alice Aparecida Guilherme" refreshedDate="45174.913077893521" createdVersion="1" refreshedVersion="4" recordCount="50" xr:uid="{00000000-000A-0000-FFFF-FFFF01000000}">
  <cacheSource type="worksheet">
    <worksheetSource ref="B9:K60" sheet="WBS_Detalhado (ordem etapas)"/>
  </cacheSource>
  <cacheFields count="8">
    <cacheField name="Ref" numFmtId="0">
      <sharedItems containsMixedTypes="1" containsNumber="1" containsInteger="1" minValue="1" maxValue="10" count="50">
        <n v="1"/>
        <s v="1.1"/>
        <s v="1.2"/>
        <s v="1.3"/>
        <n v="2"/>
        <s v="2.1"/>
        <s v="2.2"/>
        <s v="2.2.1"/>
        <s v="2.2.2"/>
        <s v="2.2.3"/>
        <s v="2.2.4"/>
        <s v="2.3"/>
        <n v="3"/>
        <s v="3.1"/>
        <s v="3.1.1"/>
        <s v="3.1.2"/>
        <s v="3.2"/>
        <s v="3.2.1"/>
        <s v="3.2.2"/>
        <n v="4"/>
        <s v="4.1"/>
        <s v="4.1.2"/>
        <s v="4.2"/>
        <s v="4.2.1"/>
        <s v="4.2.2"/>
        <s v="4.2.3"/>
        <n v="5"/>
        <s v="5.1"/>
        <s v="5.2"/>
        <s v="5.3"/>
        <n v="6"/>
        <s v="6.1"/>
        <s v="6.1.2"/>
        <s v="6.1.3"/>
        <n v="7"/>
        <s v="7.1.1"/>
        <s v="7.1.2"/>
        <s v="7.1.3"/>
        <n v="8"/>
        <s v="8.1.1"/>
        <s v="8.1.2"/>
        <s v="8.1.3"/>
        <n v="9"/>
        <s v="9.1.1"/>
        <s v="9.1.2"/>
        <s v="9.1.3"/>
        <n v="10"/>
        <s v="10.1.1"/>
        <s v="10.1.2"/>
        <s v="10.1.3"/>
      </sharedItems>
    </cacheField>
    <cacheField name="Etapas – Atividades - " numFmtId="0">
      <sharedItems count="49">
        <s v="Iniciação"/>
        <s v="Definir os objetivos do aplicativo e sua proposta de valor"/>
        <s v="Identificar as principais funcionalidades e recursos a serem incluídos"/>
        <s v="Formar uma equipe de desenvolvimento e design"/>
        <s v="Planejamento"/>
        <s v="Realizar uma análise de mercado para entender concorrentes e demandas"/>
        <s v="Definir os requisitos detalhados do aplicativo (escopo)"/>
        <s v="Dicas de saúde e bem-estar"/>
        <s v="Planos de exercícios físicos personalizados"/>
        <s v="Mapas com locais de academias e parques"/>
        <s v="Integração com sistemas de monitoramento de saúde"/>
        <s v="Criar um cronograma detalhado com marcos e prazos"/>
        <s v="Design e Prototipagem"/>
        <s v="Realizar o design da interface do usuário (UI)"/>
        <s v="Navegação simples entre as funcionalidades"/>
        <s v="Criar protótipos interativos para validar o fluxo de usuário"/>
        <s v=" Experiência do usuário (UX)"/>
        <s v="Interface limpa e intuitiva"/>
        <s v="Teste de UI / UX"/>
        <s v="Desenvolvimento"/>
        <s v="Desenvolver a estrutura do aplicativo"/>
        <s v="Front-end: Interface do usuário e interações"/>
        <s v="Implementar as funcionalidades principais"/>
        <s v="Módulo de dicas de saúde"/>
        <s v="Gerador de planos de exercícios"/>
        <s v="Integração com APIs de mapas para localização de academias e parques"/>
        <s v="Integrar o aplicativo com sistemas de monitoramento de saúde, como dispositivos wearable ou aplicativos de rastreamento"/>
        <s v="Garantir a segurança e privacidade dos dados do usuário"/>
        <s v="Testar a integração para assegurar que os dados são sincronizados corretamente"/>
        <s v="Testes"/>
        <s v="Realizar testes de qualidade e desempenho em diversas plataformas (iOS, Android)"/>
        <s v="Testar a usabilidade do aplicativo com usuários reais"/>
        <s v="Identificar e corrigir bugs e problemas de interface"/>
        <s v="Lançamento"/>
        <s v="Preparar a infraestrutura para o lançamento nas lojas de aplicativos (App Store, Google Play)"/>
        <s v="Criar materiais de marketing, como vídeos promocionais e descrições claras"/>
        <s v="Submeter o aplicativo para revisão nas lojas de aplicativos"/>
        <s v="Pós-lançamento"/>
        <s v="Monitorar o feedback dos usuários e analisar métricas de uso"/>
        <s v="Realizar atualizações periódicas para adicionar novas funcionalidades e melhorias"/>
        <s v="Oferecer suporte ao cliente para solucionar problemas e responder dúvidas"/>
        <s v="Marketing e Divulgação"/>
        <s v="Criar estratégias de marketing digital para aumentar a visibilidade do aplicativo"/>
        <s v="Colaborar com influenciadores de saúde e bem-estar para promoção"/>
        <s v="Realizar campanhas de mídia social e anúncios online"/>
        <s v="Avaliação e Aperfeiçoamento"/>
        <s v="Realizar análises regulares sobre o desempenho do aplicativo"/>
        <s v="Explorar parcerias com empresas relacionadas à saúde e bem-estar"/>
        <s v="Avaliar a possibilidade de oferecer versões premium ou modelos de assinatura"/>
      </sharedItems>
    </cacheField>
    <cacheField name="Dependência" numFmtId="0">
      <sharedItems containsBlank="1" count="36">
        <m/>
        <s v="1.1"/>
        <s v="1.3"/>
        <s v="2.1"/>
        <s v="2.2"/>
        <s v="2.3"/>
        <s v="3.1"/>
        <s v="3.1.1"/>
        <s v="3.1.2"/>
        <s v="3.2"/>
        <s v="3.2.2"/>
        <s v="3.2.1"/>
        <s v="4.1"/>
        <s v="4.1.2"/>
        <s v="4.2"/>
        <s v="4.2.1"/>
        <s v="4.2.2"/>
        <s v="4.2.3"/>
        <s v="5.1"/>
        <s v="5.2"/>
        <s v="5.3"/>
        <s v="6.1"/>
        <s v="6.1.2"/>
        <s v="6.1.3"/>
        <s v="7.1.1"/>
        <s v="7.1.2"/>
        <s v="7.1.3"/>
        <s v="8.1.1"/>
        <s v="8.1.2"/>
        <s v="8.1.3"/>
        <s v="9.1.1"/>
        <s v="9.1.2"/>
        <s v="9.1.3"/>
        <s v="10.1.1"/>
        <s v="10.1.2"/>
        <s v="10.1.3"/>
      </sharedItems>
    </cacheField>
    <cacheField name="Duração em semanas" numFmtId="0">
      <sharedItems containsString="0" containsBlank="1" containsNumber="1" containsInteger="1" minValue="1" maxValue="2"/>
    </cacheField>
    <cacheField name="Conclusão" numFmtId="0">
      <sharedItems containsBlank="1"/>
    </cacheField>
    <cacheField name="Responsável" numFmtId="0">
      <sharedItems containsBlank="1" count="11">
        <m/>
        <s v="GERENTE DE PROJETO"/>
        <s v="DESIGN"/>
        <s v="DESENVOLVIMENTO"/>
        <s v="SEGURANÇA"/>
        <s v="QUALIDADE"/>
        <s v="UX"/>
        <s v="REDES"/>
        <s v="COMERCIAL"/>
        <s v="EQUIPE TÉCNICA"/>
        <s v="DESEMPENHO"/>
      </sharedItems>
    </cacheField>
    <cacheField name="Recursos                                    " numFmtId="0">
      <sharedItems containsBlank="1"/>
    </cacheField>
    <cacheField name="Custos" numFmtId="0">
      <sharedItems containsString="0" containsBlank="1" containsNumber="1" containsInteger="1" minValue="200" maxValue="3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0">
  <r>
    <x v="0"/>
    <x v="0"/>
    <x v="0"/>
    <m/>
    <m/>
    <x v="0"/>
    <m/>
    <m/>
  </r>
  <r>
    <x v="1"/>
    <x v="1"/>
    <x v="1"/>
    <n v="1"/>
    <s v="1ª"/>
    <x v="1"/>
    <s v="Pessoas"/>
    <n v="1000"/>
  </r>
  <r>
    <x v="2"/>
    <x v="2"/>
    <x v="1"/>
    <n v="1"/>
    <s v="1ª"/>
    <x v="1"/>
    <s v="Pessoas"/>
    <n v="2000"/>
  </r>
  <r>
    <x v="3"/>
    <x v="3"/>
    <x v="1"/>
    <n v="1"/>
    <s v="1ª"/>
    <x v="1"/>
    <s v="Pessoas"/>
    <n v="1000"/>
  </r>
  <r>
    <x v="4"/>
    <x v="4"/>
    <x v="2"/>
    <m/>
    <m/>
    <x v="0"/>
    <m/>
    <m/>
  </r>
  <r>
    <x v="5"/>
    <x v="5"/>
    <x v="3"/>
    <n v="1"/>
    <s v="3ª"/>
    <x v="1"/>
    <s v="Pessoas"/>
    <n v="2000"/>
  </r>
  <r>
    <x v="6"/>
    <x v="6"/>
    <x v="2"/>
    <n v="1"/>
    <s v="3ª"/>
    <x v="1"/>
    <s v="Pessoas"/>
    <n v="700"/>
  </r>
  <r>
    <x v="7"/>
    <x v="7"/>
    <x v="4"/>
    <n v="1"/>
    <s v="4ª"/>
    <x v="1"/>
    <s v="Pessoas"/>
    <n v="500"/>
  </r>
  <r>
    <x v="8"/>
    <x v="8"/>
    <x v="4"/>
    <n v="1"/>
    <s v="4ª"/>
    <x v="1"/>
    <s v="Pessoas"/>
    <n v="1000"/>
  </r>
  <r>
    <x v="9"/>
    <x v="9"/>
    <x v="4"/>
    <n v="1"/>
    <s v="4ª"/>
    <x v="1"/>
    <s v="Pessoas"/>
    <n v="800"/>
  </r>
  <r>
    <x v="10"/>
    <x v="10"/>
    <x v="4"/>
    <n v="1"/>
    <s v="4ª"/>
    <x v="1"/>
    <s v="Pessoas"/>
    <n v="200"/>
  </r>
  <r>
    <x v="11"/>
    <x v="11"/>
    <x v="4"/>
    <n v="2"/>
    <s v="5ª"/>
    <x v="1"/>
    <s v="Pessoas"/>
    <n v="400"/>
  </r>
  <r>
    <x v="12"/>
    <x v="12"/>
    <x v="5"/>
    <m/>
    <m/>
    <x v="0"/>
    <m/>
    <m/>
  </r>
  <r>
    <x v="13"/>
    <x v="13"/>
    <x v="2"/>
    <n v="1"/>
    <s v="4ª"/>
    <x v="2"/>
    <s v="Pessoas"/>
    <n v="2000"/>
  </r>
  <r>
    <x v="14"/>
    <x v="14"/>
    <x v="6"/>
    <n v="1"/>
    <s v="6ª"/>
    <x v="2"/>
    <s v="Pessoas"/>
    <n v="500"/>
  </r>
  <r>
    <x v="15"/>
    <x v="15"/>
    <x v="7"/>
    <n v="1"/>
    <s v="7ª"/>
    <x v="2"/>
    <s v="Pessoas"/>
    <n v="500"/>
  </r>
  <r>
    <x v="16"/>
    <x v="16"/>
    <x v="8"/>
    <n v="1"/>
    <s v="4ª"/>
    <x v="2"/>
    <s v="Pessoas"/>
    <n v="1000"/>
  </r>
  <r>
    <x v="17"/>
    <x v="17"/>
    <x v="9"/>
    <n v="2"/>
    <s v="6ª"/>
    <x v="2"/>
    <s v="Pessoas"/>
    <n v="500"/>
  </r>
  <r>
    <x v="18"/>
    <x v="18"/>
    <x v="10"/>
    <n v="2"/>
    <s v="6ª"/>
    <x v="2"/>
    <s v="Pessoas"/>
    <n v="700"/>
  </r>
  <r>
    <x v="19"/>
    <x v="19"/>
    <x v="11"/>
    <m/>
    <m/>
    <x v="0"/>
    <m/>
    <m/>
  </r>
  <r>
    <x v="20"/>
    <x v="20"/>
    <x v="12"/>
    <n v="2"/>
    <s v="5ª"/>
    <x v="3"/>
    <s v="Pessoas"/>
    <n v="500"/>
  </r>
  <r>
    <x v="21"/>
    <x v="21"/>
    <x v="13"/>
    <n v="1"/>
    <s v="6ª"/>
    <x v="3"/>
    <s v="Pessoas"/>
    <n v="5000"/>
  </r>
  <r>
    <x v="22"/>
    <x v="22"/>
    <x v="14"/>
    <n v="1"/>
    <s v="5ª"/>
    <x v="3"/>
    <s v="Pessoas"/>
    <n v="700"/>
  </r>
  <r>
    <x v="23"/>
    <x v="23"/>
    <x v="15"/>
    <n v="2"/>
    <s v="7ª"/>
    <x v="3"/>
    <s v="Pessoas"/>
    <n v="500"/>
  </r>
  <r>
    <x v="24"/>
    <x v="24"/>
    <x v="16"/>
    <n v="1"/>
    <s v="8ª"/>
    <x v="3"/>
    <s v="Pessoas"/>
    <n v="300"/>
  </r>
  <r>
    <x v="25"/>
    <x v="25"/>
    <x v="17"/>
    <n v="2"/>
    <s v="9ª"/>
    <x v="3"/>
    <s v="Pessoas"/>
    <n v="1000"/>
  </r>
  <r>
    <x v="26"/>
    <x v="10"/>
    <x v="0"/>
    <m/>
    <m/>
    <x v="0"/>
    <m/>
    <m/>
  </r>
  <r>
    <x v="27"/>
    <x v="26"/>
    <x v="18"/>
    <n v="2"/>
    <s v="12ª"/>
    <x v="4"/>
    <s v="Pessoas"/>
    <n v="3000"/>
  </r>
  <r>
    <x v="28"/>
    <x v="27"/>
    <x v="19"/>
    <n v="2"/>
    <s v="12ª"/>
    <x v="4"/>
    <s v="Pessoas"/>
    <n v="1000"/>
  </r>
  <r>
    <x v="29"/>
    <x v="28"/>
    <x v="20"/>
    <m/>
    <s v="12ª"/>
    <x v="4"/>
    <s v="Pessoas"/>
    <n v="1000"/>
  </r>
  <r>
    <x v="30"/>
    <x v="29"/>
    <x v="0"/>
    <m/>
    <m/>
    <x v="0"/>
    <m/>
    <m/>
  </r>
  <r>
    <x v="31"/>
    <x v="30"/>
    <x v="21"/>
    <n v="1"/>
    <s v="13ª"/>
    <x v="5"/>
    <s v="Pessoas"/>
    <n v="30000"/>
  </r>
  <r>
    <x v="32"/>
    <x v="31"/>
    <x v="22"/>
    <n v="1"/>
    <s v="13ª"/>
    <x v="6"/>
    <s v="Pessoas"/>
    <n v="700"/>
  </r>
  <r>
    <x v="33"/>
    <x v="32"/>
    <x v="23"/>
    <n v="1"/>
    <s v="13ª"/>
    <x v="4"/>
    <s v="Pessoas"/>
    <n v="500"/>
  </r>
  <r>
    <x v="34"/>
    <x v="33"/>
    <x v="0"/>
    <m/>
    <m/>
    <x v="0"/>
    <m/>
    <m/>
  </r>
  <r>
    <x v="35"/>
    <x v="34"/>
    <x v="24"/>
    <n v="2"/>
    <s v="14ª"/>
    <x v="7"/>
    <s v="Pessoas"/>
    <n v="15000"/>
  </r>
  <r>
    <x v="36"/>
    <x v="35"/>
    <x v="25"/>
    <n v="2"/>
    <s v="14ª"/>
    <x v="8"/>
    <s v="Pessoas"/>
    <n v="10000"/>
  </r>
  <r>
    <x v="37"/>
    <x v="36"/>
    <x v="26"/>
    <n v="2"/>
    <s v="14ª"/>
    <x v="8"/>
    <s v="Pessoas"/>
    <n v="10000"/>
  </r>
  <r>
    <x v="38"/>
    <x v="37"/>
    <x v="0"/>
    <m/>
    <m/>
    <x v="0"/>
    <m/>
    <m/>
  </r>
  <r>
    <x v="39"/>
    <x v="38"/>
    <x v="27"/>
    <n v="2"/>
    <s v="15ª"/>
    <x v="9"/>
    <s v="Pessoas"/>
    <n v="5000"/>
  </r>
  <r>
    <x v="40"/>
    <x v="39"/>
    <x v="28"/>
    <n v="2"/>
    <s v="15ª"/>
    <x v="9"/>
    <s v="Pessoas"/>
    <n v="4000"/>
  </r>
  <r>
    <x v="41"/>
    <x v="40"/>
    <x v="29"/>
    <n v="2"/>
    <s v="15ª"/>
    <x v="9"/>
    <s v="Pessoas"/>
    <n v="1000"/>
  </r>
  <r>
    <x v="42"/>
    <x v="41"/>
    <x v="0"/>
    <m/>
    <m/>
    <x v="0"/>
    <m/>
    <m/>
  </r>
  <r>
    <x v="43"/>
    <x v="42"/>
    <x v="30"/>
    <n v="2"/>
    <s v="16ª"/>
    <x v="9"/>
    <s v="Pessoas"/>
    <n v="10000"/>
  </r>
  <r>
    <x v="44"/>
    <x v="43"/>
    <x v="31"/>
    <n v="2"/>
    <s v="16ª"/>
    <x v="9"/>
    <s v="Pessoas"/>
    <n v="20000"/>
  </r>
  <r>
    <x v="45"/>
    <x v="44"/>
    <x v="32"/>
    <n v="2"/>
    <s v="16ª"/>
    <x v="9"/>
    <s v="Pessoas"/>
    <n v="10000"/>
  </r>
  <r>
    <x v="46"/>
    <x v="45"/>
    <x v="0"/>
    <m/>
    <m/>
    <x v="0"/>
    <m/>
    <m/>
  </r>
  <r>
    <x v="47"/>
    <x v="46"/>
    <x v="33"/>
    <n v="2"/>
    <s v="17ª"/>
    <x v="10"/>
    <s v="Pessoas"/>
    <n v="4000"/>
  </r>
  <r>
    <x v="48"/>
    <x v="47"/>
    <x v="34"/>
    <n v="2"/>
    <s v="17ª"/>
    <x v="8"/>
    <s v="Pessoas"/>
    <n v="1000"/>
  </r>
  <r>
    <x v="49"/>
    <x v="48"/>
    <x v="35"/>
    <n v="2"/>
    <s v="17ª"/>
    <x v="8"/>
    <s v="Pessoas"/>
    <n v="1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Tabela dinâmica2" cacheId="4"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fieldListSortAscending="1">
  <location ref="A3:E55" firstHeaderRow="2" firstDataRow="2" firstDataCol="4"/>
  <pivotFields count="8">
    <pivotField axis="axisRow" compact="0" outline="0" showAll="0" includeNewItemsInFilter="1" defaultSubtotal="0">
      <items count="50">
        <item x="0"/>
        <item x="4"/>
        <item x="12"/>
        <item x="19"/>
        <item x="26"/>
        <item x="30"/>
        <item x="34"/>
        <item x="38"/>
        <item x="42"/>
        <item x="46"/>
        <item x="1"/>
        <item x="2"/>
        <item x="3"/>
        <item x="47"/>
        <item x="48"/>
        <item x="49"/>
        <item x="5"/>
        <item x="6"/>
        <item x="7"/>
        <item x="8"/>
        <item x="9"/>
        <item x="10"/>
        <item x="11"/>
        <item x="13"/>
        <item x="14"/>
        <item x="15"/>
        <item x="16"/>
        <item x="17"/>
        <item x="20"/>
        <item x="21"/>
        <item x="22"/>
        <item x="23"/>
        <item x="24"/>
        <item x="25"/>
        <item x="27"/>
        <item x="28"/>
        <item x="29"/>
        <item x="31"/>
        <item x="32"/>
        <item x="33"/>
        <item x="35"/>
        <item x="36"/>
        <item x="37"/>
        <item x="39"/>
        <item x="40"/>
        <item x="41"/>
        <item x="43"/>
        <item x="44"/>
        <item x="45"/>
        <item x="18"/>
      </items>
    </pivotField>
    <pivotField axis="axisRow" compact="0" outline="0" showAll="0" includeNewItemsInFilter="1" defaultSubtotal="0">
      <items count="49">
        <item x="16"/>
        <item x="45"/>
        <item x="48"/>
        <item x="43"/>
        <item x="42"/>
        <item x="35"/>
        <item x="15"/>
        <item x="11"/>
        <item x="1"/>
        <item x="6"/>
        <item x="20"/>
        <item x="19"/>
        <item x="12"/>
        <item x="7"/>
        <item x="47"/>
        <item x="3"/>
        <item x="21"/>
        <item x="27"/>
        <item x="24"/>
        <item x="2"/>
        <item x="32"/>
        <item x="22"/>
        <item x="0"/>
        <item x="25"/>
        <item x="10"/>
        <item x="26"/>
        <item x="17"/>
        <item x="33"/>
        <item x="9"/>
        <item x="41"/>
        <item x="23"/>
        <item x="38"/>
        <item x="14"/>
        <item x="40"/>
        <item x="4"/>
        <item x="8"/>
        <item x="37"/>
        <item x="34"/>
        <item x="46"/>
        <item x="39"/>
        <item x="44"/>
        <item x="13"/>
        <item x="30"/>
        <item x="5"/>
        <item x="36"/>
        <item x="28"/>
        <item x="31"/>
        <item x="29"/>
        <item x="18"/>
      </items>
    </pivotField>
    <pivotField axis="axisRow" compact="0" outline="0" showAll="0" includeNewItemsInFilter="1" sortType="ascending" defaultSubtotal="0">
      <items count="36">
        <item x="1"/>
        <item x="2"/>
        <item x="33"/>
        <item x="34"/>
        <item x="35"/>
        <item x="3"/>
        <item x="4"/>
        <item x="5"/>
        <item x="6"/>
        <item x="7"/>
        <item x="8"/>
        <item x="9"/>
        <item x="11"/>
        <item x="10"/>
        <item x="12"/>
        <item x="13"/>
        <item x="14"/>
        <item x="15"/>
        <item x="16"/>
        <item x="17"/>
        <item x="18"/>
        <item x="19"/>
        <item x="20"/>
        <item x="21"/>
        <item x="22"/>
        <item x="23"/>
        <item x="24"/>
        <item x="25"/>
        <item x="26"/>
        <item x="27"/>
        <item x="28"/>
        <item x="29"/>
        <item x="30"/>
        <item x="31"/>
        <item x="32"/>
        <item x="0"/>
      </items>
    </pivotField>
    <pivotField compact="0" outline="0" showAll="0" includeNewItemsInFilter="1"/>
    <pivotField compact="0" outline="0" showAll="0" includeNewItemsInFilter="1"/>
    <pivotField axis="axisRow" compact="0" outline="0" showAll="0" includeNewItemsInFilter="1" defaultSubtotal="0">
      <items count="11">
        <item x="8"/>
        <item x="10"/>
        <item x="3"/>
        <item x="2"/>
        <item x="9"/>
        <item x="1"/>
        <item x="5"/>
        <item x="7"/>
        <item x="4"/>
        <item x="6"/>
        <item x="0"/>
      </items>
    </pivotField>
    <pivotField compact="0" outline="0" showAll="0" includeNewItemsInFilter="1"/>
    <pivotField dataField="1" compact="0" outline="0" showAll="0" includeNewItemsInFilter="1"/>
  </pivotFields>
  <rowFields count="4">
    <field x="2"/>
    <field x="5"/>
    <field x="1"/>
    <field x="0"/>
  </rowFields>
  <rowItems count="51">
    <i>
      <x/>
      <x v="5"/>
      <x v="8"/>
      <x v="10"/>
    </i>
    <i r="2">
      <x v="15"/>
      <x v="12"/>
    </i>
    <i r="2">
      <x v="19"/>
      <x v="11"/>
    </i>
    <i>
      <x v="1"/>
      <x v="3"/>
      <x v="41"/>
      <x v="23"/>
    </i>
    <i r="1">
      <x v="5"/>
      <x v="9"/>
      <x v="17"/>
    </i>
    <i r="1">
      <x v="10"/>
      <x v="34"/>
      <x v="1"/>
    </i>
    <i>
      <x v="2"/>
      <x v="1"/>
      <x v="38"/>
      <x v="13"/>
    </i>
    <i>
      <x v="3"/>
      <x/>
      <x v="14"/>
      <x v="14"/>
    </i>
    <i>
      <x v="4"/>
      <x/>
      <x v="2"/>
      <x v="15"/>
    </i>
    <i>
      <x v="5"/>
      <x v="5"/>
      <x v="43"/>
      <x v="16"/>
    </i>
    <i>
      <x v="6"/>
      <x v="5"/>
      <x v="7"/>
      <x v="22"/>
    </i>
    <i r="2">
      <x v="13"/>
      <x v="18"/>
    </i>
    <i r="2">
      <x v="24"/>
      <x v="21"/>
    </i>
    <i r="2">
      <x v="28"/>
      <x v="20"/>
    </i>
    <i r="2">
      <x v="35"/>
      <x v="19"/>
    </i>
    <i>
      <x v="7"/>
      <x v="10"/>
      <x v="12"/>
      <x v="2"/>
    </i>
    <i>
      <x v="8"/>
      <x v="3"/>
      <x v="32"/>
      <x v="24"/>
    </i>
    <i>
      <x v="9"/>
      <x v="3"/>
      <x v="6"/>
      <x v="25"/>
    </i>
    <i>
      <x v="10"/>
      <x v="3"/>
      <x/>
      <x v="26"/>
    </i>
    <i>
      <x v="11"/>
      <x v="3"/>
      <x v="26"/>
      <x v="27"/>
    </i>
    <i>
      <x v="12"/>
      <x v="10"/>
      <x v="11"/>
      <x v="3"/>
    </i>
    <i>
      <x v="13"/>
      <x v="3"/>
      <x v="48"/>
      <x v="49"/>
    </i>
    <i>
      <x v="14"/>
      <x v="2"/>
      <x v="10"/>
      <x v="28"/>
    </i>
    <i>
      <x v="15"/>
      <x v="2"/>
      <x v="16"/>
      <x v="29"/>
    </i>
    <i>
      <x v="16"/>
      <x v="2"/>
      <x v="21"/>
      <x v="30"/>
    </i>
    <i>
      <x v="17"/>
      <x v="2"/>
      <x v="30"/>
      <x v="31"/>
    </i>
    <i>
      <x v="18"/>
      <x v="2"/>
      <x v="18"/>
      <x v="32"/>
    </i>
    <i>
      <x v="19"/>
      <x v="2"/>
      <x v="23"/>
      <x v="33"/>
    </i>
    <i>
      <x v="20"/>
      <x v="8"/>
      <x v="25"/>
      <x v="34"/>
    </i>
    <i>
      <x v="21"/>
      <x v="8"/>
      <x v="17"/>
      <x v="35"/>
    </i>
    <i>
      <x v="22"/>
      <x v="8"/>
      <x v="45"/>
      <x v="36"/>
    </i>
    <i>
      <x v="23"/>
      <x v="6"/>
      <x v="42"/>
      <x v="37"/>
    </i>
    <i>
      <x v="24"/>
      <x v="9"/>
      <x v="46"/>
      <x v="38"/>
    </i>
    <i>
      <x v="25"/>
      <x v="8"/>
      <x v="20"/>
      <x v="39"/>
    </i>
    <i>
      <x v="26"/>
      <x v="7"/>
      <x v="37"/>
      <x v="40"/>
    </i>
    <i>
      <x v="27"/>
      <x/>
      <x v="5"/>
      <x v="41"/>
    </i>
    <i>
      <x v="28"/>
      <x/>
      <x v="44"/>
      <x v="42"/>
    </i>
    <i>
      <x v="29"/>
      <x v="4"/>
      <x v="31"/>
      <x v="43"/>
    </i>
    <i>
      <x v="30"/>
      <x v="4"/>
      <x v="39"/>
      <x v="44"/>
    </i>
    <i>
      <x v="31"/>
      <x v="4"/>
      <x v="33"/>
      <x v="45"/>
    </i>
    <i>
      <x v="32"/>
      <x v="4"/>
      <x v="4"/>
      <x v="46"/>
    </i>
    <i>
      <x v="33"/>
      <x v="4"/>
      <x v="3"/>
      <x v="47"/>
    </i>
    <i>
      <x v="34"/>
      <x v="4"/>
      <x v="40"/>
      <x v="48"/>
    </i>
    <i>
      <x v="35"/>
      <x v="10"/>
      <x v="1"/>
      <x v="9"/>
    </i>
    <i r="2">
      <x v="22"/>
      <x/>
    </i>
    <i r="2">
      <x v="24"/>
      <x v="4"/>
    </i>
    <i r="2">
      <x v="27"/>
      <x v="6"/>
    </i>
    <i r="2">
      <x v="29"/>
      <x v="8"/>
    </i>
    <i r="2">
      <x v="36"/>
      <x v="7"/>
    </i>
    <i r="2">
      <x v="47"/>
      <x v="5"/>
    </i>
    <i t="grand">
      <x/>
    </i>
  </rowItems>
  <colItems count="1">
    <i/>
  </colItems>
  <dataFields count="1">
    <dataField name="Soma de Custos" fld="7" baseField="0" baseItem="23"/>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249977111117893"/>
  </sheetPr>
  <dimension ref="A1"/>
  <sheetViews>
    <sheetView showGridLines="0" topLeftCell="P118" zoomScale="60" zoomScaleNormal="60" workbookViewId="0">
      <selection activeCell="U176" sqref="U176"/>
    </sheetView>
  </sheetViews>
  <sheetFormatPr defaultRowHeight="12.75" x14ac:dyDescent="0.2"/>
  <sheetData/>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outlinePr summaryBelow="0"/>
    <pageSetUpPr fitToPage="1"/>
  </sheetPr>
  <dimension ref="A2:R86"/>
  <sheetViews>
    <sheetView showGridLines="0" zoomScale="90" zoomScaleNormal="90" workbookViewId="0">
      <pane ySplit="9" topLeftCell="A43" activePane="bottomLeft" state="frozenSplit"/>
      <selection pane="bottomLeft" activeCell="C18" sqref="C18"/>
    </sheetView>
  </sheetViews>
  <sheetFormatPr defaultRowHeight="12.75" x14ac:dyDescent="0.2"/>
  <cols>
    <col min="1" max="1" width="3.42578125" customWidth="1"/>
    <col min="2" max="2" width="8.7109375" style="260" customWidth="1"/>
    <col min="3" max="3" width="127.5703125" style="178" bestFit="1" customWidth="1"/>
    <col min="4" max="4" width="17" style="260" customWidth="1"/>
    <col min="5" max="7" width="15.42578125" style="1" customWidth="1"/>
    <col min="8" max="8" width="14.42578125" style="1" customWidth="1"/>
    <col min="9" max="9" width="21.7109375" style="107" customWidth="1"/>
    <col min="10" max="10" width="13.42578125" style="1" customWidth="1"/>
    <col min="11" max="11" width="22.7109375" style="1" bestFit="1" customWidth="1"/>
    <col min="12" max="12" width="12.5703125" customWidth="1"/>
    <col min="15" max="15" width="8.7109375" customWidth="1"/>
    <col min="16" max="16" width="46.140625" customWidth="1"/>
    <col min="17" max="17" width="56.42578125" customWidth="1"/>
    <col min="18" max="18" width="16" customWidth="1"/>
  </cols>
  <sheetData>
    <row r="2" spans="2:18" x14ac:dyDescent="0.2">
      <c r="C2" s="194"/>
    </row>
    <row r="3" spans="2:18" ht="18" x14ac:dyDescent="0.2">
      <c r="C3" s="196"/>
    </row>
    <row r="7" spans="2:18" ht="16.5" x14ac:dyDescent="0.2">
      <c r="B7" s="261" t="s">
        <v>49</v>
      </c>
      <c r="P7" t="s">
        <v>187</v>
      </c>
    </row>
    <row r="8" spans="2:18" ht="13.5" thickBot="1" x14ac:dyDescent="0.25"/>
    <row r="9" spans="2:18" s="14" customFormat="1" ht="32.25" thickBot="1" x14ac:dyDescent="0.25">
      <c r="B9" s="143" t="s">
        <v>0</v>
      </c>
      <c r="C9" s="144" t="s">
        <v>51</v>
      </c>
      <c r="D9" s="145" t="s">
        <v>2</v>
      </c>
      <c r="E9" s="146" t="s">
        <v>188</v>
      </c>
      <c r="F9" s="146" t="s">
        <v>189</v>
      </c>
      <c r="G9" s="146" t="s">
        <v>28</v>
      </c>
      <c r="H9" s="147" t="s">
        <v>3</v>
      </c>
      <c r="I9" s="147" t="s">
        <v>4</v>
      </c>
      <c r="J9" s="147" t="s">
        <v>5</v>
      </c>
      <c r="K9" s="147" t="s">
        <v>31</v>
      </c>
      <c r="L9" s="148" t="s">
        <v>6</v>
      </c>
      <c r="O9" s="338" t="s">
        <v>183</v>
      </c>
      <c r="P9" s="339"/>
      <c r="Q9" s="339"/>
      <c r="R9" s="340"/>
    </row>
    <row r="10" spans="2:18" s="8" customFormat="1" ht="31.9" customHeight="1" thickBot="1" x14ac:dyDescent="0.25">
      <c r="B10" s="143">
        <v>1</v>
      </c>
      <c r="C10" s="149" t="s">
        <v>55</v>
      </c>
      <c r="D10" s="145">
        <v>1</v>
      </c>
      <c r="E10" s="330">
        <v>45901</v>
      </c>
      <c r="F10" s="330">
        <v>45905</v>
      </c>
      <c r="G10" s="146"/>
      <c r="H10" s="147"/>
      <c r="I10" s="147"/>
      <c r="J10" s="147"/>
      <c r="K10" s="150"/>
      <c r="L10" s="151"/>
      <c r="O10" s="274"/>
      <c r="P10" s="273" t="s">
        <v>180</v>
      </c>
      <c r="Q10" s="273" t="s">
        <v>2</v>
      </c>
      <c r="R10" s="275" t="s">
        <v>28</v>
      </c>
    </row>
    <row r="11" spans="2:18" s="8" customFormat="1" ht="22.5" customHeight="1" thickBot="1" x14ac:dyDescent="0.25">
      <c r="B11" s="183" t="s">
        <v>11</v>
      </c>
      <c r="C11" s="179" t="s">
        <v>375</v>
      </c>
      <c r="D11" s="127" t="s">
        <v>11</v>
      </c>
      <c r="E11" s="330">
        <v>45905</v>
      </c>
      <c r="F11" s="330">
        <v>45909</v>
      </c>
      <c r="G11" s="115">
        <v>2</v>
      </c>
      <c r="H11" s="128" t="s">
        <v>177</v>
      </c>
      <c r="I11" s="124" t="s">
        <v>56</v>
      </c>
      <c r="J11" s="129" t="s">
        <v>48</v>
      </c>
      <c r="K11" s="130">
        <v>2500</v>
      </c>
      <c r="L11" s="131"/>
      <c r="O11" s="276">
        <v>1</v>
      </c>
      <c r="P11" s="270" t="s">
        <v>55</v>
      </c>
      <c r="Q11" s="270" t="s">
        <v>179</v>
      </c>
      <c r="R11" s="281">
        <v>6</v>
      </c>
    </row>
    <row r="12" spans="2:18" s="8" customFormat="1" ht="27.75" customHeight="1" thickBot="1" x14ac:dyDescent="0.25">
      <c r="B12" s="184" t="s">
        <v>14</v>
      </c>
      <c r="C12" s="136" t="s">
        <v>376</v>
      </c>
      <c r="D12" s="111" t="s">
        <v>11</v>
      </c>
      <c r="E12" s="330">
        <v>45910</v>
      </c>
      <c r="F12" s="330">
        <v>45913</v>
      </c>
      <c r="G12" s="114">
        <v>2</v>
      </c>
      <c r="H12" s="128" t="s">
        <v>177</v>
      </c>
      <c r="I12" s="108" t="s">
        <v>56</v>
      </c>
      <c r="J12" s="106" t="s">
        <v>48</v>
      </c>
      <c r="K12" s="113">
        <v>2000</v>
      </c>
      <c r="L12" s="132"/>
      <c r="O12" s="276">
        <v>2</v>
      </c>
      <c r="P12" s="270" t="s">
        <v>57</v>
      </c>
      <c r="Q12" s="270" t="s">
        <v>55</v>
      </c>
      <c r="R12" s="281">
        <v>11</v>
      </c>
    </row>
    <row r="13" spans="2:18" s="8" customFormat="1" ht="28.5" customHeight="1" thickBot="1" x14ac:dyDescent="0.25">
      <c r="B13" s="185" t="s">
        <v>15</v>
      </c>
      <c r="C13" s="180" t="s">
        <v>377</v>
      </c>
      <c r="D13" s="125" t="s">
        <v>14</v>
      </c>
      <c r="E13" s="330">
        <v>45914</v>
      </c>
      <c r="F13" s="330">
        <v>45916</v>
      </c>
      <c r="G13" s="119">
        <v>2</v>
      </c>
      <c r="H13" s="128" t="s">
        <v>177</v>
      </c>
      <c r="I13" s="109" t="s">
        <v>56</v>
      </c>
      <c r="J13" s="121" t="s">
        <v>48</v>
      </c>
      <c r="K13" s="122">
        <v>3200</v>
      </c>
      <c r="L13" s="164"/>
      <c r="O13" s="276">
        <v>3</v>
      </c>
      <c r="P13" s="270" t="s">
        <v>64</v>
      </c>
      <c r="Q13" s="270" t="s">
        <v>55</v>
      </c>
      <c r="R13" s="281">
        <v>8</v>
      </c>
    </row>
    <row r="14" spans="2:18" s="8" customFormat="1" ht="18.75" thickBot="1" x14ac:dyDescent="0.25">
      <c r="B14" s="156">
        <v>2</v>
      </c>
      <c r="C14" s="157" t="s">
        <v>57</v>
      </c>
      <c r="D14" s="158" t="s">
        <v>15</v>
      </c>
      <c r="E14" s="330"/>
      <c r="F14" s="330"/>
      <c r="G14" s="166"/>
      <c r="H14" s="167"/>
      <c r="I14" s="167"/>
      <c r="J14" s="167"/>
      <c r="K14" s="188">
        <f>SUM(K11:K13)</f>
        <v>7700</v>
      </c>
      <c r="L14" s="168"/>
      <c r="O14" s="276">
        <v>4</v>
      </c>
      <c r="P14" s="270" t="s">
        <v>72</v>
      </c>
      <c r="Q14" s="270" t="s">
        <v>184</v>
      </c>
      <c r="R14" s="281">
        <v>11</v>
      </c>
    </row>
    <row r="15" spans="2:18" s="2" customFormat="1" ht="37.5" customHeight="1" thickBot="1" x14ac:dyDescent="0.25">
      <c r="B15" s="183" t="s">
        <v>7</v>
      </c>
      <c r="C15" s="179" t="s">
        <v>378</v>
      </c>
      <c r="D15" s="127" t="s">
        <v>7</v>
      </c>
      <c r="E15" s="330">
        <v>45917</v>
      </c>
      <c r="F15" s="330">
        <v>45918</v>
      </c>
      <c r="G15" s="154">
        <v>2</v>
      </c>
      <c r="H15" s="129" t="s">
        <v>177</v>
      </c>
      <c r="I15" s="165" t="s">
        <v>56</v>
      </c>
      <c r="J15" s="129" t="s">
        <v>48</v>
      </c>
      <c r="K15" s="130">
        <v>2000</v>
      </c>
      <c r="L15" s="155"/>
      <c r="O15" s="276">
        <v>5</v>
      </c>
      <c r="P15" s="270" t="s">
        <v>62</v>
      </c>
      <c r="Q15" s="270" t="s">
        <v>72</v>
      </c>
      <c r="R15" s="281">
        <v>5</v>
      </c>
    </row>
    <row r="16" spans="2:18" s="2" customFormat="1" ht="33" customHeight="1" thickBot="1" x14ac:dyDescent="0.25">
      <c r="B16" s="184" t="s">
        <v>8</v>
      </c>
      <c r="C16" s="251" t="s">
        <v>379</v>
      </c>
      <c r="D16" s="111" t="s">
        <v>14</v>
      </c>
      <c r="E16" s="330">
        <v>45919</v>
      </c>
      <c r="F16" s="330">
        <v>45922</v>
      </c>
      <c r="G16" s="112">
        <v>2</v>
      </c>
      <c r="H16" s="129" t="s">
        <v>177</v>
      </c>
      <c r="I16" s="109" t="s">
        <v>56</v>
      </c>
      <c r="J16" s="106" t="s">
        <v>48</v>
      </c>
      <c r="K16" s="113">
        <v>2500</v>
      </c>
      <c r="L16" s="133"/>
      <c r="O16" s="276">
        <v>6</v>
      </c>
      <c r="P16" s="271" t="s">
        <v>86</v>
      </c>
      <c r="Q16" s="271" t="s">
        <v>62</v>
      </c>
      <c r="R16" s="281">
        <v>3</v>
      </c>
    </row>
    <row r="17" spans="1:18" s="2" customFormat="1" ht="28.5" customHeight="1" thickBot="1" x14ac:dyDescent="0.25">
      <c r="B17" s="184" t="s">
        <v>43</v>
      </c>
      <c r="C17" s="251" t="s">
        <v>380</v>
      </c>
      <c r="D17" s="111" t="s">
        <v>8</v>
      </c>
      <c r="E17" s="330">
        <v>45923</v>
      </c>
      <c r="F17" s="330">
        <v>45925</v>
      </c>
      <c r="G17" s="112">
        <v>2</v>
      </c>
      <c r="H17" s="129" t="s">
        <v>177</v>
      </c>
      <c r="I17" s="109" t="s">
        <v>56</v>
      </c>
      <c r="J17" s="106" t="s">
        <v>48</v>
      </c>
      <c r="K17" s="113">
        <v>2500</v>
      </c>
      <c r="L17" s="133"/>
      <c r="O17" s="277">
        <v>7</v>
      </c>
      <c r="P17" s="272" t="s">
        <v>182</v>
      </c>
      <c r="Q17" s="272" t="s">
        <v>86</v>
      </c>
      <c r="R17" s="282">
        <v>6</v>
      </c>
    </row>
    <row r="18" spans="1:18" s="2" customFormat="1" ht="39" customHeight="1" thickBot="1" x14ac:dyDescent="0.25">
      <c r="B18" s="184" t="s">
        <v>44</v>
      </c>
      <c r="C18" s="251" t="s">
        <v>381</v>
      </c>
      <c r="D18" s="111" t="s">
        <v>8</v>
      </c>
      <c r="E18" s="330">
        <v>45926</v>
      </c>
      <c r="F18" s="330">
        <v>45930</v>
      </c>
      <c r="G18" s="112">
        <v>1</v>
      </c>
      <c r="H18" s="106" t="s">
        <v>47</v>
      </c>
      <c r="I18" s="109" t="s">
        <v>56</v>
      </c>
      <c r="J18" s="106" t="s">
        <v>48</v>
      </c>
      <c r="K18" s="113">
        <v>2500</v>
      </c>
      <c r="L18" s="133"/>
      <c r="O18" s="276">
        <v>8</v>
      </c>
      <c r="P18" s="270" t="s">
        <v>181</v>
      </c>
      <c r="Q18" s="272" t="s">
        <v>182</v>
      </c>
      <c r="R18" s="281">
        <v>6</v>
      </c>
    </row>
    <row r="19" spans="1:18" s="2" customFormat="1" ht="34.9" customHeight="1" thickBot="1" x14ac:dyDescent="0.25">
      <c r="B19" s="184" t="s">
        <v>65</v>
      </c>
      <c r="C19" s="251" t="s">
        <v>382</v>
      </c>
      <c r="D19" s="111" t="s">
        <v>8</v>
      </c>
      <c r="E19" s="330">
        <v>45931</v>
      </c>
      <c r="F19" s="330">
        <v>45933</v>
      </c>
      <c r="G19" s="112">
        <v>1</v>
      </c>
      <c r="H19" s="106" t="s">
        <v>47</v>
      </c>
      <c r="I19" s="109" t="s">
        <v>56</v>
      </c>
      <c r="J19" s="106" t="s">
        <v>48</v>
      </c>
      <c r="K19" s="113">
        <v>2500</v>
      </c>
      <c r="L19" s="133"/>
      <c r="O19" s="276">
        <v>9</v>
      </c>
      <c r="P19" s="270" t="s">
        <v>186</v>
      </c>
      <c r="Q19" s="270" t="s">
        <v>181</v>
      </c>
      <c r="R19" s="281">
        <v>6</v>
      </c>
    </row>
    <row r="20" spans="1:18" s="2" customFormat="1" ht="28.5" customHeight="1" thickBot="1" x14ac:dyDescent="0.25">
      <c r="B20" s="184" t="s">
        <v>66</v>
      </c>
      <c r="C20" s="251" t="s">
        <v>383</v>
      </c>
      <c r="D20" s="111" t="s">
        <v>8</v>
      </c>
      <c r="E20" s="330">
        <v>45934</v>
      </c>
      <c r="F20" s="330">
        <v>45937</v>
      </c>
      <c r="G20" s="114">
        <v>2</v>
      </c>
      <c r="H20" s="110" t="s">
        <v>177</v>
      </c>
      <c r="I20" s="109" t="s">
        <v>56</v>
      </c>
      <c r="J20" s="106" t="s">
        <v>48</v>
      </c>
      <c r="K20" s="113">
        <v>2500</v>
      </c>
      <c r="L20" s="133"/>
      <c r="O20" s="276">
        <v>10</v>
      </c>
      <c r="P20" s="270" t="s">
        <v>115</v>
      </c>
      <c r="Q20" s="270" t="s">
        <v>108</v>
      </c>
      <c r="R20" s="281">
        <v>6</v>
      </c>
    </row>
    <row r="21" spans="1:18" s="2" customFormat="1" ht="28.5" customHeight="1" thickBot="1" x14ac:dyDescent="0.25">
      <c r="B21" s="185" t="s">
        <v>171</v>
      </c>
      <c r="C21" s="252" t="s">
        <v>384</v>
      </c>
      <c r="D21" s="125" t="s">
        <v>8</v>
      </c>
      <c r="E21" s="330">
        <v>45938</v>
      </c>
      <c r="F21" s="330">
        <v>45941</v>
      </c>
      <c r="G21" s="152">
        <v>1</v>
      </c>
      <c r="H21" s="121" t="s">
        <v>47</v>
      </c>
      <c r="I21" s="109" t="s">
        <v>56</v>
      </c>
      <c r="J21" s="121" t="s">
        <v>48</v>
      </c>
      <c r="K21" s="113">
        <v>2500</v>
      </c>
      <c r="L21" s="153"/>
      <c r="O21" s="278">
        <v>11</v>
      </c>
      <c r="P21" s="271" t="s">
        <v>173</v>
      </c>
      <c r="Q21" s="270" t="s">
        <v>115</v>
      </c>
      <c r="R21" s="283">
        <v>6</v>
      </c>
    </row>
    <row r="22" spans="1:18" s="8" customFormat="1" ht="24" customHeight="1" thickBot="1" x14ac:dyDescent="0.3">
      <c r="B22" s="156">
        <v>3</v>
      </c>
      <c r="C22" s="157" t="s">
        <v>64</v>
      </c>
      <c r="D22" s="158" t="s">
        <v>171</v>
      </c>
      <c r="E22" s="330"/>
      <c r="F22" s="330"/>
      <c r="G22" s="159"/>
      <c r="H22" s="160"/>
      <c r="I22" s="160"/>
      <c r="J22" s="160"/>
      <c r="K22" s="189">
        <f>SUM(K15:K21)</f>
        <v>17000</v>
      </c>
      <c r="L22" s="162"/>
      <c r="O22" s="279"/>
      <c r="P22" s="336"/>
      <c r="Q22" s="337"/>
      <c r="R22" s="280"/>
    </row>
    <row r="23" spans="1:18" s="2" customFormat="1" ht="28.5" customHeight="1" thickBot="1" x14ac:dyDescent="0.25">
      <c r="A23" s="2" t="s">
        <v>45</v>
      </c>
      <c r="B23" s="183" t="s">
        <v>16</v>
      </c>
      <c r="C23" s="253" t="s">
        <v>385</v>
      </c>
      <c r="D23" s="127" t="s">
        <v>15</v>
      </c>
      <c r="E23" s="330">
        <v>45942</v>
      </c>
      <c r="F23" s="330">
        <v>45943</v>
      </c>
      <c r="G23" s="154">
        <v>1</v>
      </c>
      <c r="H23" s="129" t="s">
        <v>47</v>
      </c>
      <c r="I23" s="129" t="s">
        <v>67</v>
      </c>
      <c r="J23" s="129" t="s">
        <v>48</v>
      </c>
      <c r="K23" s="130">
        <v>2000</v>
      </c>
      <c r="L23" s="155"/>
      <c r="O23" s="8"/>
      <c r="P23" s="8"/>
      <c r="Q23" s="8"/>
      <c r="R23" s="8"/>
    </row>
    <row r="24" spans="1:18" s="2" customFormat="1" ht="28.5" customHeight="1" thickBot="1" x14ac:dyDescent="0.25">
      <c r="B24" s="184" t="s">
        <v>130</v>
      </c>
      <c r="C24" s="251" t="s">
        <v>387</v>
      </c>
      <c r="D24" s="111" t="s">
        <v>16</v>
      </c>
      <c r="E24" s="330">
        <v>45944</v>
      </c>
      <c r="F24" s="330">
        <v>45947</v>
      </c>
      <c r="G24" s="112">
        <v>1</v>
      </c>
      <c r="H24" s="129" t="s">
        <v>47</v>
      </c>
      <c r="I24" s="106" t="s">
        <v>67</v>
      </c>
      <c r="J24" s="106" t="s">
        <v>48</v>
      </c>
      <c r="K24" s="113">
        <v>2250</v>
      </c>
      <c r="L24" s="133"/>
    </row>
    <row r="25" spans="1:18" s="2" customFormat="1" ht="28.5" customHeight="1" thickBot="1" x14ac:dyDescent="0.25">
      <c r="B25" s="184" t="s">
        <v>71</v>
      </c>
      <c r="C25" s="251" t="s">
        <v>386</v>
      </c>
      <c r="D25" s="111" t="s">
        <v>130</v>
      </c>
      <c r="E25" s="330">
        <v>45948</v>
      </c>
      <c r="F25" s="330">
        <v>45952</v>
      </c>
      <c r="G25" s="112">
        <v>1</v>
      </c>
      <c r="H25" s="129" t="s">
        <v>47</v>
      </c>
      <c r="I25" s="106" t="s">
        <v>67</v>
      </c>
      <c r="J25" s="106" t="s">
        <v>48</v>
      </c>
      <c r="K25" s="113">
        <v>2200</v>
      </c>
      <c r="L25" s="133"/>
    </row>
    <row r="26" spans="1:18" s="2" customFormat="1" ht="28.5" customHeight="1" thickBot="1" x14ac:dyDescent="0.25">
      <c r="A26" s="2" t="s">
        <v>45</v>
      </c>
      <c r="B26" s="184" t="s">
        <v>17</v>
      </c>
      <c r="C26" s="251" t="s">
        <v>388</v>
      </c>
      <c r="D26" s="267" t="s">
        <v>71</v>
      </c>
      <c r="E26" s="330">
        <v>45953</v>
      </c>
      <c r="F26" s="330">
        <v>45955</v>
      </c>
      <c r="G26" s="112">
        <v>1</v>
      </c>
      <c r="H26" s="129" t="s">
        <v>47</v>
      </c>
      <c r="I26" s="106" t="s">
        <v>67</v>
      </c>
      <c r="J26" s="106" t="s">
        <v>48</v>
      </c>
      <c r="K26" s="113">
        <v>2250</v>
      </c>
      <c r="L26" s="133"/>
    </row>
    <row r="27" spans="1:18" s="2" customFormat="1" ht="28.5" customHeight="1" thickBot="1" x14ac:dyDescent="0.25">
      <c r="B27" s="184" t="s">
        <v>131</v>
      </c>
      <c r="C27" s="251" t="s">
        <v>389</v>
      </c>
      <c r="D27" s="111" t="s">
        <v>17</v>
      </c>
      <c r="E27" s="330">
        <v>45958</v>
      </c>
      <c r="F27" s="330">
        <v>45962</v>
      </c>
      <c r="G27" s="112">
        <v>2</v>
      </c>
      <c r="H27" s="106" t="s">
        <v>177</v>
      </c>
      <c r="I27" s="106" t="s">
        <v>67</v>
      </c>
      <c r="J27" s="106" t="s">
        <v>48</v>
      </c>
      <c r="K27" s="113">
        <v>2250</v>
      </c>
      <c r="L27" s="133"/>
    </row>
    <row r="28" spans="1:18" s="2" customFormat="1" ht="28.5" customHeight="1" thickBot="1" x14ac:dyDescent="0.25">
      <c r="B28" s="185" t="s">
        <v>139</v>
      </c>
      <c r="C28" s="252" t="s">
        <v>138</v>
      </c>
      <c r="D28" s="125" t="s">
        <v>17</v>
      </c>
      <c r="E28" s="330">
        <v>45963</v>
      </c>
      <c r="F28" s="330">
        <v>45966</v>
      </c>
      <c r="G28" s="152">
        <v>2</v>
      </c>
      <c r="H28" s="106" t="s">
        <v>177</v>
      </c>
      <c r="I28" s="121" t="s">
        <v>67</v>
      </c>
      <c r="J28" s="121" t="s">
        <v>48</v>
      </c>
      <c r="K28" s="113">
        <v>2250</v>
      </c>
      <c r="L28" s="153"/>
    </row>
    <row r="29" spans="1:18" s="8" customFormat="1" ht="15.75" customHeight="1" thickBot="1" x14ac:dyDescent="0.25">
      <c r="B29" s="156">
        <v>4</v>
      </c>
      <c r="C29" s="157" t="s">
        <v>72</v>
      </c>
      <c r="D29" s="158" t="s">
        <v>139</v>
      </c>
      <c r="E29" s="330"/>
      <c r="F29" s="330"/>
      <c r="G29" s="166"/>
      <c r="H29" s="167"/>
      <c r="I29" s="167"/>
      <c r="J29" s="167"/>
      <c r="K29" s="190">
        <f>SUM(K23:K28)</f>
        <v>13200</v>
      </c>
      <c r="L29" s="168"/>
    </row>
    <row r="30" spans="1:18" s="2" customFormat="1" ht="28.5" customHeight="1" thickBot="1" x14ac:dyDescent="0.25">
      <c r="B30" s="183" t="s">
        <v>10</v>
      </c>
      <c r="C30" s="253" t="s">
        <v>390</v>
      </c>
      <c r="D30" s="127" t="s">
        <v>10</v>
      </c>
      <c r="E30" s="330">
        <v>45967</v>
      </c>
      <c r="F30" s="330">
        <v>45968</v>
      </c>
      <c r="G30" s="154">
        <v>2</v>
      </c>
      <c r="H30" s="129" t="s">
        <v>177</v>
      </c>
      <c r="I30" s="169" t="s">
        <v>74</v>
      </c>
      <c r="J30" s="129" t="s">
        <v>48</v>
      </c>
      <c r="K30" s="130">
        <v>6000</v>
      </c>
      <c r="L30" s="155"/>
    </row>
    <row r="31" spans="1:18" s="2" customFormat="1" ht="28.5" customHeight="1" thickBot="1" x14ac:dyDescent="0.25">
      <c r="B31" s="184" t="s">
        <v>76</v>
      </c>
      <c r="C31" s="251" t="s">
        <v>75</v>
      </c>
      <c r="D31" s="111" t="s">
        <v>10</v>
      </c>
      <c r="E31" s="330">
        <v>45970</v>
      </c>
      <c r="F31" s="330">
        <v>45972</v>
      </c>
      <c r="G31" s="114">
        <v>1</v>
      </c>
      <c r="H31" s="110" t="s">
        <v>47</v>
      </c>
      <c r="I31" s="118" t="s">
        <v>74</v>
      </c>
      <c r="J31" s="110" t="s">
        <v>48</v>
      </c>
      <c r="K31" s="113">
        <v>4000</v>
      </c>
      <c r="L31" s="133"/>
    </row>
    <row r="32" spans="1:18" s="2" customFormat="1" ht="28.5" customHeight="1" thickBot="1" x14ac:dyDescent="0.25">
      <c r="B32" s="184" t="s">
        <v>172</v>
      </c>
      <c r="C32" s="251" t="s">
        <v>391</v>
      </c>
      <c r="D32" s="111" t="s">
        <v>10</v>
      </c>
      <c r="E32" s="330">
        <v>45973</v>
      </c>
      <c r="F32" s="330">
        <v>45975</v>
      </c>
      <c r="G32" s="114">
        <v>2</v>
      </c>
      <c r="H32" s="110" t="s">
        <v>177</v>
      </c>
      <c r="I32" s="118" t="s">
        <v>74</v>
      </c>
      <c r="J32" s="110" t="s">
        <v>48</v>
      </c>
      <c r="K32" s="113">
        <v>4500</v>
      </c>
      <c r="L32" s="133"/>
    </row>
    <row r="33" spans="1:12" s="2" customFormat="1" ht="28.5" customHeight="1" thickBot="1" x14ac:dyDescent="0.25">
      <c r="B33" s="184" t="s">
        <v>34</v>
      </c>
      <c r="C33" s="251" t="s">
        <v>77</v>
      </c>
      <c r="D33" s="111" t="s">
        <v>8</v>
      </c>
      <c r="E33" s="330">
        <v>45976</v>
      </c>
      <c r="F33" s="330">
        <v>45978</v>
      </c>
      <c r="G33" s="114">
        <v>1</v>
      </c>
      <c r="H33" s="110" t="s">
        <v>47</v>
      </c>
      <c r="I33" s="118" t="s">
        <v>74</v>
      </c>
      <c r="J33" s="110" t="s">
        <v>48</v>
      </c>
      <c r="K33" s="113">
        <v>4000</v>
      </c>
      <c r="L33" s="133"/>
    </row>
    <row r="34" spans="1:12" s="2" customFormat="1" ht="28.5" customHeight="1" thickBot="1" x14ac:dyDescent="0.25">
      <c r="B34" s="184" t="s">
        <v>46</v>
      </c>
      <c r="C34" s="251" t="s">
        <v>80</v>
      </c>
      <c r="D34" s="111" t="s">
        <v>34</v>
      </c>
      <c r="E34" s="330">
        <v>45979</v>
      </c>
      <c r="F34" s="330">
        <v>45980</v>
      </c>
      <c r="G34" s="114">
        <v>2</v>
      </c>
      <c r="H34" s="110" t="s">
        <v>177</v>
      </c>
      <c r="I34" s="118" t="s">
        <v>74</v>
      </c>
      <c r="J34" s="110" t="s">
        <v>48</v>
      </c>
      <c r="K34" s="113">
        <v>4000</v>
      </c>
      <c r="L34" s="133"/>
    </row>
    <row r="35" spans="1:12" s="2" customFormat="1" ht="16.5" customHeight="1" thickBot="1" x14ac:dyDescent="0.25">
      <c r="B35" s="184" t="s">
        <v>78</v>
      </c>
      <c r="C35" s="251" t="s">
        <v>392</v>
      </c>
      <c r="D35" s="111" t="s">
        <v>34</v>
      </c>
      <c r="E35" s="330">
        <v>45981</v>
      </c>
      <c r="F35" s="330">
        <v>45984</v>
      </c>
      <c r="G35" s="114">
        <v>1</v>
      </c>
      <c r="H35" s="110" t="s">
        <v>47</v>
      </c>
      <c r="I35" s="118" t="s">
        <v>74</v>
      </c>
      <c r="J35" s="110" t="s">
        <v>48</v>
      </c>
      <c r="K35" s="113">
        <v>4000</v>
      </c>
      <c r="L35" s="133"/>
    </row>
    <row r="36" spans="1:12" s="2" customFormat="1" ht="28.5" customHeight="1" thickBot="1" x14ac:dyDescent="0.25">
      <c r="B36" s="185" t="s">
        <v>79</v>
      </c>
      <c r="C36" s="252" t="s">
        <v>393</v>
      </c>
      <c r="D36" s="125" t="s">
        <v>34</v>
      </c>
      <c r="E36" s="330">
        <v>45985</v>
      </c>
      <c r="F36" s="330">
        <v>45988</v>
      </c>
      <c r="G36" s="119">
        <v>2</v>
      </c>
      <c r="H36" s="120" t="s">
        <v>177</v>
      </c>
      <c r="I36" s="163" t="s">
        <v>74</v>
      </c>
      <c r="J36" s="120" t="s">
        <v>48</v>
      </c>
      <c r="K36" s="122">
        <v>5500</v>
      </c>
      <c r="L36" s="153"/>
    </row>
    <row r="37" spans="1:12" s="8" customFormat="1" ht="28.5" customHeight="1" thickBot="1" x14ac:dyDescent="0.25">
      <c r="B37" s="156">
        <v>5</v>
      </c>
      <c r="C37" s="157" t="s">
        <v>62</v>
      </c>
      <c r="D37" s="158" t="s">
        <v>79</v>
      </c>
      <c r="E37" s="330"/>
      <c r="F37" s="330"/>
      <c r="G37" s="166"/>
      <c r="H37" s="237"/>
      <c r="I37" s="167"/>
      <c r="J37" s="167"/>
      <c r="K37" s="190">
        <f>SUM(K30:K36)</f>
        <v>32000</v>
      </c>
      <c r="L37" s="168"/>
    </row>
    <row r="38" spans="1:12" s="2" customFormat="1" ht="28.5" customHeight="1" thickBot="1" x14ac:dyDescent="0.25">
      <c r="B38" s="183" t="s">
        <v>18</v>
      </c>
      <c r="C38" s="254" t="s">
        <v>394</v>
      </c>
      <c r="D38" s="127" t="s">
        <v>18</v>
      </c>
      <c r="E38" s="330">
        <v>45992</v>
      </c>
      <c r="F38" s="330">
        <v>45993</v>
      </c>
      <c r="G38" s="115">
        <v>2</v>
      </c>
      <c r="H38" s="116" t="s">
        <v>177</v>
      </c>
      <c r="I38" s="117" t="s">
        <v>122</v>
      </c>
      <c r="J38" s="116" t="s">
        <v>48</v>
      </c>
      <c r="K38" s="130">
        <v>3000</v>
      </c>
      <c r="L38" s="155"/>
    </row>
    <row r="39" spans="1:12" s="2" customFormat="1" ht="21" customHeight="1" thickBot="1" x14ac:dyDescent="0.25">
      <c r="B39" s="184" t="s">
        <v>19</v>
      </c>
      <c r="C39" s="251" t="s">
        <v>395</v>
      </c>
      <c r="D39" s="111" t="s">
        <v>19</v>
      </c>
      <c r="E39" s="330">
        <v>45994</v>
      </c>
      <c r="F39" s="330">
        <v>45996</v>
      </c>
      <c r="G39" s="114">
        <v>2</v>
      </c>
      <c r="H39" s="110" t="s">
        <v>177</v>
      </c>
      <c r="I39" s="118" t="s">
        <v>122</v>
      </c>
      <c r="J39" s="110" t="s">
        <v>48</v>
      </c>
      <c r="K39" s="113">
        <v>1000</v>
      </c>
      <c r="L39" s="133"/>
    </row>
    <row r="40" spans="1:12" s="2" customFormat="1" ht="28.5" customHeight="1" thickBot="1" x14ac:dyDescent="0.25">
      <c r="B40" s="185" t="s">
        <v>20</v>
      </c>
      <c r="C40" s="252" t="s">
        <v>396</v>
      </c>
      <c r="D40" s="125" t="s">
        <v>20</v>
      </c>
      <c r="E40" s="330">
        <v>45997</v>
      </c>
      <c r="F40" s="330">
        <v>45999</v>
      </c>
      <c r="G40" s="119">
        <v>1</v>
      </c>
      <c r="H40" s="120" t="s">
        <v>47</v>
      </c>
      <c r="I40" s="163" t="s">
        <v>122</v>
      </c>
      <c r="J40" s="120" t="s">
        <v>48</v>
      </c>
      <c r="K40" s="122">
        <v>1000</v>
      </c>
      <c r="L40" s="153"/>
    </row>
    <row r="41" spans="1:12" s="2" customFormat="1" ht="28.5" customHeight="1" thickBot="1" x14ac:dyDescent="0.25">
      <c r="B41" s="156">
        <v>6</v>
      </c>
      <c r="C41" s="157" t="s">
        <v>86</v>
      </c>
      <c r="D41" s="158" t="s">
        <v>20</v>
      </c>
      <c r="E41" s="330"/>
      <c r="F41" s="330"/>
      <c r="G41" s="159"/>
      <c r="H41" s="160"/>
      <c r="I41" s="160"/>
      <c r="J41" s="160"/>
      <c r="K41" s="161"/>
      <c r="L41" s="162"/>
    </row>
    <row r="42" spans="1:12" s="2" customFormat="1" ht="21" customHeight="1" thickBot="1" x14ac:dyDescent="0.25">
      <c r="B42" s="183" t="s">
        <v>90</v>
      </c>
      <c r="C42" s="253" t="s">
        <v>397</v>
      </c>
      <c r="D42" s="127" t="s">
        <v>90</v>
      </c>
      <c r="E42" s="330">
        <v>46000</v>
      </c>
      <c r="F42" s="330">
        <v>46001</v>
      </c>
      <c r="G42" s="115">
        <v>1</v>
      </c>
      <c r="H42" s="116" t="s">
        <v>47</v>
      </c>
      <c r="I42" s="117" t="s">
        <v>123</v>
      </c>
      <c r="J42" s="116" t="s">
        <v>48</v>
      </c>
      <c r="K42" s="130">
        <v>7500</v>
      </c>
      <c r="L42" s="131"/>
    </row>
    <row r="43" spans="1:12" s="2" customFormat="1" ht="24" customHeight="1" thickBot="1" x14ac:dyDescent="0.25">
      <c r="B43" s="184" t="s">
        <v>91</v>
      </c>
      <c r="C43" s="251" t="s">
        <v>398</v>
      </c>
      <c r="D43" s="111" t="s">
        <v>91</v>
      </c>
      <c r="E43" s="330">
        <v>46002</v>
      </c>
      <c r="F43" s="330">
        <v>46003</v>
      </c>
      <c r="G43" s="114">
        <v>1</v>
      </c>
      <c r="H43" s="116" t="s">
        <v>47</v>
      </c>
      <c r="I43" s="117" t="s">
        <v>123</v>
      </c>
      <c r="J43" s="110" t="s">
        <v>48</v>
      </c>
      <c r="K43" s="113">
        <v>2600</v>
      </c>
      <c r="L43" s="132"/>
    </row>
    <row r="44" spans="1:12" s="2" customFormat="1" ht="28.5" customHeight="1" thickBot="1" x14ac:dyDescent="0.25">
      <c r="B44" s="185" t="s">
        <v>92</v>
      </c>
      <c r="C44" s="252" t="s">
        <v>399</v>
      </c>
      <c r="D44" s="125" t="s">
        <v>92</v>
      </c>
      <c r="E44" s="330">
        <v>46004</v>
      </c>
      <c r="F44" s="330">
        <v>46000</v>
      </c>
      <c r="G44" s="119">
        <v>1</v>
      </c>
      <c r="H44" s="238" t="s">
        <v>47</v>
      </c>
      <c r="I44" s="170" t="s">
        <v>123</v>
      </c>
      <c r="J44" s="120" t="s">
        <v>48</v>
      </c>
      <c r="K44" s="122">
        <v>1500</v>
      </c>
      <c r="L44" s="164"/>
    </row>
    <row r="45" spans="1:12" s="2" customFormat="1" ht="28.5" customHeight="1" thickBot="1" x14ac:dyDescent="0.25">
      <c r="B45" s="156">
        <v>7</v>
      </c>
      <c r="C45" s="157" t="s">
        <v>182</v>
      </c>
      <c r="D45" s="158" t="s">
        <v>92</v>
      </c>
      <c r="E45" s="330">
        <v>46001</v>
      </c>
      <c r="F45" s="330">
        <v>46005</v>
      </c>
      <c r="G45" s="159"/>
      <c r="H45" s="239"/>
      <c r="I45" s="160"/>
      <c r="J45" s="160"/>
      <c r="K45" s="189">
        <f>SUM(K42:K44)</f>
        <v>11600</v>
      </c>
      <c r="L45" s="162"/>
    </row>
    <row r="46" spans="1:12" s="2" customFormat="1" ht="28.5" customHeight="1" thickBot="1" x14ac:dyDescent="0.25">
      <c r="B46" s="183" t="s">
        <v>97</v>
      </c>
      <c r="C46" s="255" t="s">
        <v>400</v>
      </c>
      <c r="D46" s="127" t="s">
        <v>97</v>
      </c>
      <c r="E46" s="330">
        <v>46006</v>
      </c>
      <c r="F46" s="330">
        <v>46010</v>
      </c>
      <c r="G46" s="115">
        <v>2</v>
      </c>
      <c r="H46" s="116" t="s">
        <v>177</v>
      </c>
      <c r="I46" s="117" t="s">
        <v>125</v>
      </c>
      <c r="J46" s="240" t="s">
        <v>48</v>
      </c>
      <c r="K46" s="130">
        <v>7500</v>
      </c>
      <c r="L46" s="131"/>
    </row>
    <row r="47" spans="1:12" s="2" customFormat="1" ht="20.25" customHeight="1" thickBot="1" x14ac:dyDescent="0.25">
      <c r="B47" s="184" t="s">
        <v>98</v>
      </c>
      <c r="C47" s="251" t="s">
        <v>401</v>
      </c>
      <c r="D47" s="111" t="s">
        <v>98</v>
      </c>
      <c r="E47" s="330">
        <v>46011</v>
      </c>
      <c r="F47" s="330">
        <v>46013</v>
      </c>
      <c r="G47" s="114">
        <v>2</v>
      </c>
      <c r="H47" s="110" t="s">
        <v>177</v>
      </c>
      <c r="I47" s="118" t="s">
        <v>126</v>
      </c>
      <c r="J47" s="110" t="s">
        <v>48</v>
      </c>
      <c r="K47" s="113">
        <v>6600</v>
      </c>
      <c r="L47" s="132"/>
    </row>
    <row r="48" spans="1:12" s="2" customFormat="1" ht="22.5" customHeight="1" thickBot="1" x14ac:dyDescent="0.25">
      <c r="A48" s="2" t="s">
        <v>99</v>
      </c>
      <c r="B48" s="185" t="s">
        <v>100</v>
      </c>
      <c r="C48" s="252" t="s">
        <v>402</v>
      </c>
      <c r="D48" s="125" t="s">
        <v>100</v>
      </c>
      <c r="E48" s="330">
        <v>46014</v>
      </c>
      <c r="F48" s="330">
        <v>46015</v>
      </c>
      <c r="G48" s="119">
        <v>2</v>
      </c>
      <c r="H48" s="120" t="s">
        <v>177</v>
      </c>
      <c r="I48" s="163" t="s">
        <v>126</v>
      </c>
      <c r="J48" s="120" t="s">
        <v>48</v>
      </c>
      <c r="K48" s="122">
        <v>4500</v>
      </c>
      <c r="L48" s="164"/>
    </row>
    <row r="49" spans="2:12" s="2" customFormat="1" ht="28.5" customHeight="1" thickBot="1" x14ac:dyDescent="0.25">
      <c r="B49" s="156">
        <v>8</v>
      </c>
      <c r="C49" s="256" t="s">
        <v>181</v>
      </c>
      <c r="D49" s="158" t="s">
        <v>100</v>
      </c>
      <c r="E49" s="330"/>
      <c r="F49" s="330"/>
      <c r="G49" s="159"/>
      <c r="H49" s="239"/>
      <c r="I49" s="160"/>
      <c r="J49" s="160"/>
      <c r="K49" s="189">
        <f>SUM(K46:K48)</f>
        <v>18600</v>
      </c>
      <c r="L49" s="162"/>
    </row>
    <row r="50" spans="2:12" s="2" customFormat="1" ht="28.5" customHeight="1" thickBot="1" x14ac:dyDescent="0.25">
      <c r="B50" s="183" t="s">
        <v>105</v>
      </c>
      <c r="C50" s="253" t="s">
        <v>403</v>
      </c>
      <c r="D50" s="127" t="s">
        <v>105</v>
      </c>
      <c r="E50" s="330">
        <v>46016</v>
      </c>
      <c r="F50" s="330">
        <v>46017</v>
      </c>
      <c r="G50" s="115">
        <v>2</v>
      </c>
      <c r="H50" s="116" t="s">
        <v>177</v>
      </c>
      <c r="I50" s="116" t="s">
        <v>128</v>
      </c>
      <c r="J50" s="116" t="s">
        <v>48</v>
      </c>
      <c r="K50" s="130">
        <v>5000</v>
      </c>
      <c r="L50" s="131"/>
    </row>
    <row r="51" spans="2:12" s="2" customFormat="1" ht="28.5" customHeight="1" thickBot="1" x14ac:dyDescent="0.25">
      <c r="B51" s="184" t="s">
        <v>106</v>
      </c>
      <c r="C51" s="251" t="s">
        <v>404</v>
      </c>
      <c r="D51" s="111" t="s">
        <v>106</v>
      </c>
      <c r="E51" s="330">
        <v>46018</v>
      </c>
      <c r="F51" s="330">
        <v>46021</v>
      </c>
      <c r="G51" s="114">
        <v>2</v>
      </c>
      <c r="H51" s="110" t="s">
        <v>177</v>
      </c>
      <c r="I51" s="110" t="s">
        <v>128</v>
      </c>
      <c r="J51" s="110" t="s">
        <v>48</v>
      </c>
      <c r="K51" s="113">
        <v>4000</v>
      </c>
      <c r="L51" s="132"/>
    </row>
    <row r="52" spans="2:12" s="2" customFormat="1" ht="28.5" customHeight="1" thickBot="1" x14ac:dyDescent="0.25">
      <c r="B52" s="185" t="s">
        <v>107</v>
      </c>
      <c r="C52" s="252" t="s">
        <v>405</v>
      </c>
      <c r="D52" s="125" t="s">
        <v>107</v>
      </c>
      <c r="E52" s="330">
        <v>46022</v>
      </c>
      <c r="F52" s="330">
        <v>45658</v>
      </c>
      <c r="G52" s="119">
        <v>2</v>
      </c>
      <c r="H52" s="120" t="s">
        <v>177</v>
      </c>
      <c r="I52" s="120" t="s">
        <v>128</v>
      </c>
      <c r="J52" s="120" t="s">
        <v>48</v>
      </c>
      <c r="K52" s="122">
        <v>2000</v>
      </c>
      <c r="L52" s="164"/>
    </row>
    <row r="53" spans="2:12" s="2" customFormat="1" ht="28.5" customHeight="1" thickBot="1" x14ac:dyDescent="0.25">
      <c r="B53" s="156">
        <v>9</v>
      </c>
      <c r="C53" s="256" t="s">
        <v>185</v>
      </c>
      <c r="D53" s="158" t="s">
        <v>107</v>
      </c>
      <c r="E53" s="330"/>
      <c r="F53" s="330"/>
      <c r="G53" s="171"/>
      <c r="H53" s="239"/>
      <c r="I53" s="160"/>
      <c r="J53" s="160"/>
      <c r="K53" s="189">
        <f>SUM(K50:K52)</f>
        <v>11000</v>
      </c>
      <c r="L53" s="162"/>
    </row>
    <row r="54" spans="2:12" s="2" customFormat="1" ht="28.5" customHeight="1" thickBot="1" x14ac:dyDescent="0.25">
      <c r="B54" s="183" t="s">
        <v>112</v>
      </c>
      <c r="C54" s="253" t="s">
        <v>406</v>
      </c>
      <c r="D54" s="127" t="s">
        <v>112</v>
      </c>
      <c r="E54" s="330">
        <v>45659</v>
      </c>
      <c r="F54" s="330">
        <v>45663</v>
      </c>
      <c r="G54" s="115">
        <v>2</v>
      </c>
      <c r="H54" s="116" t="s">
        <v>177</v>
      </c>
      <c r="I54" s="116" t="s">
        <v>128</v>
      </c>
      <c r="J54" s="116" t="s">
        <v>48</v>
      </c>
      <c r="K54" s="130">
        <v>3500</v>
      </c>
      <c r="L54" s="131"/>
    </row>
    <row r="55" spans="2:12" s="2" customFormat="1" ht="28.5" customHeight="1" thickBot="1" x14ac:dyDescent="0.25">
      <c r="B55" s="184" t="s">
        <v>113</v>
      </c>
      <c r="C55" s="251" t="s">
        <v>407</v>
      </c>
      <c r="D55" s="111" t="s">
        <v>113</v>
      </c>
      <c r="E55" s="330">
        <v>45664</v>
      </c>
      <c r="F55" s="330">
        <v>45669</v>
      </c>
      <c r="G55" s="114">
        <v>2</v>
      </c>
      <c r="H55" s="110" t="s">
        <v>177</v>
      </c>
      <c r="I55" s="110" t="s">
        <v>128</v>
      </c>
      <c r="J55" s="110" t="s">
        <v>48</v>
      </c>
      <c r="K55" s="113">
        <v>2500</v>
      </c>
      <c r="L55" s="132"/>
    </row>
    <row r="56" spans="2:12" s="2" customFormat="1" ht="28.5" customHeight="1" thickBot="1" x14ac:dyDescent="0.25">
      <c r="B56" s="185" t="s">
        <v>114</v>
      </c>
      <c r="C56" s="252" t="s">
        <v>408</v>
      </c>
      <c r="D56" s="125" t="s">
        <v>114</v>
      </c>
      <c r="E56" s="330">
        <v>45670</v>
      </c>
      <c r="F56" s="330">
        <v>45673</v>
      </c>
      <c r="G56" s="119">
        <v>2</v>
      </c>
      <c r="H56" s="120" t="s">
        <v>177</v>
      </c>
      <c r="I56" s="120" t="s">
        <v>128</v>
      </c>
      <c r="J56" s="120" t="s">
        <v>48</v>
      </c>
      <c r="K56" s="122">
        <v>9000</v>
      </c>
      <c r="L56" s="164"/>
    </row>
    <row r="57" spans="2:12" s="2" customFormat="1" ht="28.5" customHeight="1" thickBot="1" x14ac:dyDescent="0.25">
      <c r="B57" s="156">
        <v>10</v>
      </c>
      <c r="C57" s="256" t="s">
        <v>115</v>
      </c>
      <c r="D57" s="158" t="s">
        <v>114</v>
      </c>
      <c r="E57" s="330"/>
      <c r="F57" s="330"/>
      <c r="G57" s="159"/>
      <c r="H57" s="239"/>
      <c r="I57" s="160"/>
      <c r="J57" s="160"/>
      <c r="K57" s="189">
        <f>SUM(K54:K56)</f>
        <v>15000</v>
      </c>
      <c r="L57" s="162"/>
    </row>
    <row r="58" spans="2:12" s="2" customFormat="1" ht="28.5" customHeight="1" thickBot="1" x14ac:dyDescent="0.25">
      <c r="B58" s="186" t="s">
        <v>118</v>
      </c>
      <c r="C58" s="253" t="s">
        <v>409</v>
      </c>
      <c r="D58" s="181" t="s">
        <v>118</v>
      </c>
      <c r="E58" s="330">
        <v>45674</v>
      </c>
      <c r="F58" s="330">
        <v>45676</v>
      </c>
      <c r="G58" s="115">
        <v>2</v>
      </c>
      <c r="H58" s="116" t="s">
        <v>177</v>
      </c>
      <c r="I58" s="116" t="s">
        <v>127</v>
      </c>
      <c r="J58" s="116" t="s">
        <v>48</v>
      </c>
      <c r="K58" s="130">
        <v>4000</v>
      </c>
      <c r="L58" s="131"/>
    </row>
    <row r="59" spans="2:12" s="2" customFormat="1" ht="28.5" customHeight="1" thickBot="1" x14ac:dyDescent="0.25">
      <c r="B59" s="187" t="s">
        <v>119</v>
      </c>
      <c r="C59" s="251" t="s">
        <v>410</v>
      </c>
      <c r="D59" s="182" t="s">
        <v>119</v>
      </c>
      <c r="E59" s="330">
        <v>45677</v>
      </c>
      <c r="F59" s="330">
        <v>45679</v>
      </c>
      <c r="G59" s="114">
        <v>2</v>
      </c>
      <c r="H59" s="110" t="s">
        <v>177</v>
      </c>
      <c r="I59" s="110" t="s">
        <v>126</v>
      </c>
      <c r="J59" s="110" t="s">
        <v>48</v>
      </c>
      <c r="K59" s="113">
        <v>2600</v>
      </c>
      <c r="L59" s="132"/>
    </row>
    <row r="60" spans="2:12" ht="28.5" customHeight="1" thickBot="1" x14ac:dyDescent="0.25">
      <c r="B60" s="262" t="s">
        <v>120</v>
      </c>
      <c r="C60" s="252" t="s">
        <v>411</v>
      </c>
      <c r="D60" s="241" t="s">
        <v>120</v>
      </c>
      <c r="E60" s="330">
        <v>45680</v>
      </c>
      <c r="F60" s="330">
        <v>45681</v>
      </c>
      <c r="G60" s="119">
        <v>2</v>
      </c>
      <c r="H60" s="120" t="s">
        <v>177</v>
      </c>
      <c r="I60" s="242" t="s">
        <v>126</v>
      </c>
      <c r="J60" s="120" t="s">
        <v>48</v>
      </c>
      <c r="K60" s="122">
        <v>2300</v>
      </c>
      <c r="L60" s="134"/>
    </row>
    <row r="61" spans="2:12" ht="28.5" customHeight="1" thickBot="1" x14ac:dyDescent="0.25">
      <c r="B61" s="263">
        <v>11</v>
      </c>
      <c r="C61" s="256" t="s">
        <v>173</v>
      </c>
      <c r="D61" s="243" t="s">
        <v>120</v>
      </c>
      <c r="E61" s="330"/>
      <c r="F61" s="330"/>
      <c r="G61" s="175"/>
      <c r="H61" s="176"/>
      <c r="I61" s="244"/>
      <c r="J61" s="176"/>
      <c r="K61" s="191">
        <f>SUM(K58:K60)</f>
        <v>8900</v>
      </c>
      <c r="L61" s="177"/>
    </row>
    <row r="62" spans="2:12" ht="18" customHeight="1" thickBot="1" x14ac:dyDescent="0.25">
      <c r="B62" s="264" t="s">
        <v>174</v>
      </c>
      <c r="C62" s="257" t="s">
        <v>412</v>
      </c>
      <c r="D62" s="245" t="s">
        <v>174</v>
      </c>
      <c r="E62" s="330">
        <v>45682</v>
      </c>
      <c r="F62" s="330">
        <v>45683</v>
      </c>
      <c r="G62" s="172">
        <v>2</v>
      </c>
      <c r="H62" s="127" t="s">
        <v>177</v>
      </c>
      <c r="I62" s="246" t="s">
        <v>128</v>
      </c>
      <c r="J62" s="120" t="s">
        <v>48</v>
      </c>
      <c r="K62" s="173">
        <v>3700</v>
      </c>
      <c r="L62" s="174"/>
    </row>
    <row r="63" spans="2:12" ht="21" customHeight="1" thickBot="1" x14ac:dyDescent="0.25">
      <c r="B63" s="265" t="s">
        <v>175</v>
      </c>
      <c r="C63" s="258" t="s">
        <v>413</v>
      </c>
      <c r="D63" s="247" t="s">
        <v>175</v>
      </c>
      <c r="E63" s="330">
        <v>45684</v>
      </c>
      <c r="F63" s="330">
        <v>45687</v>
      </c>
      <c r="G63" s="138">
        <v>2</v>
      </c>
      <c r="H63" s="111" t="s">
        <v>177</v>
      </c>
      <c r="I63" s="246" t="s">
        <v>128</v>
      </c>
      <c r="J63" s="120" t="s">
        <v>48</v>
      </c>
      <c r="K63" s="126">
        <v>8500</v>
      </c>
      <c r="L63" s="137"/>
    </row>
    <row r="64" spans="2:12" ht="17.25" customHeight="1" thickBot="1" x14ac:dyDescent="0.25">
      <c r="B64" s="266" t="s">
        <v>176</v>
      </c>
      <c r="C64" s="259" t="s">
        <v>414</v>
      </c>
      <c r="D64" s="241" t="s">
        <v>176</v>
      </c>
      <c r="E64" s="330">
        <v>45688</v>
      </c>
      <c r="F64" s="330">
        <v>45690</v>
      </c>
      <c r="G64" s="139">
        <v>2</v>
      </c>
      <c r="H64" s="125" t="s">
        <v>177</v>
      </c>
      <c r="I64" s="248" t="s">
        <v>128</v>
      </c>
      <c r="J64" s="120" t="s">
        <v>48</v>
      </c>
      <c r="K64" s="140">
        <v>2800</v>
      </c>
      <c r="L64" s="141"/>
    </row>
    <row r="65" spans="2:12" ht="24" customHeight="1" thickBot="1" x14ac:dyDescent="0.25">
      <c r="B65" s="334"/>
      <c r="C65" s="335"/>
      <c r="D65" s="250" t="s">
        <v>176</v>
      </c>
      <c r="E65" s="249"/>
      <c r="F65" s="249"/>
      <c r="G65" s="249"/>
      <c r="H65" s="249"/>
      <c r="I65" s="249"/>
      <c r="J65" s="249"/>
      <c r="K65" s="193">
        <f>SUM(K62:K64)</f>
        <v>15000</v>
      </c>
      <c r="L65" s="135"/>
    </row>
    <row r="66" spans="2:12" s="8" customFormat="1" ht="16.5" thickBot="1" x14ac:dyDescent="0.25">
      <c r="B66" s="123"/>
      <c r="C66" s="142"/>
      <c r="D66" s="331" t="s">
        <v>35</v>
      </c>
      <c r="E66" s="332"/>
      <c r="F66" s="332"/>
      <c r="G66" s="333"/>
      <c r="H66" s="333"/>
      <c r="I66" s="333"/>
      <c r="J66" s="333"/>
      <c r="K66" s="233">
        <f>SUM(K14+K22+K29+K37+K45+K49+K53+K57+K61+K65)</f>
        <v>150000</v>
      </c>
      <c r="L66" s="192"/>
    </row>
    <row r="78" spans="2:12" ht="15" customHeight="1" x14ac:dyDescent="0.2"/>
    <row r="79" spans="2:12" ht="15" customHeight="1" x14ac:dyDescent="0.2"/>
    <row r="80" spans="2:12" ht="15" customHeight="1" x14ac:dyDescent="0.2"/>
    <row r="84" ht="19.5" customHeight="1" x14ac:dyDescent="0.2"/>
    <row r="85" ht="34.5" customHeight="1" x14ac:dyDescent="0.2"/>
    <row r="86" ht="18.75" customHeight="1" x14ac:dyDescent="0.2"/>
  </sheetData>
  <mergeCells count="4">
    <mergeCell ref="D66:J66"/>
    <mergeCell ref="B65:C65"/>
    <mergeCell ref="P22:Q22"/>
    <mergeCell ref="O9:R9"/>
  </mergeCells>
  <phoneticPr fontId="3" type="noConversion"/>
  <printOptions horizontalCentered="1"/>
  <pageMargins left="0.25" right="0.25" top="0.75" bottom="0.75" header="0.3" footer="0.3"/>
  <pageSetup paperSize="9" scale="39" fitToHeight="0" orientation="landscape" r:id="rId1"/>
  <headerFooter alignWithMargins="0">
    <oddFooter>&amp;R14</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pageSetUpPr fitToPage="1"/>
  </sheetPr>
  <dimension ref="A1:Y78"/>
  <sheetViews>
    <sheetView showGridLines="0" zoomScaleNormal="100" workbookViewId="0">
      <selection activeCell="L1" sqref="L1"/>
    </sheetView>
  </sheetViews>
  <sheetFormatPr defaultRowHeight="12.75" x14ac:dyDescent="0.2"/>
  <cols>
    <col min="1" max="1" width="3" customWidth="1"/>
    <col min="2" max="2" width="14.7109375" customWidth="1"/>
  </cols>
  <sheetData>
    <row r="1" spans="1:24" ht="16.5" x14ac:dyDescent="0.25">
      <c r="B1" s="4"/>
      <c r="Q1" s="23"/>
    </row>
    <row r="2" spans="1:24" ht="16.5" x14ac:dyDescent="0.25">
      <c r="B2" s="4"/>
      <c r="Q2" s="23"/>
    </row>
    <row r="3" spans="1:24" ht="26.25" customHeight="1" x14ac:dyDescent="0.4">
      <c r="A3" s="341"/>
      <c r="B3" s="341"/>
      <c r="C3" s="26"/>
      <c r="D3" s="26"/>
      <c r="E3" s="26"/>
      <c r="F3" s="26"/>
      <c r="G3" s="26"/>
      <c r="H3" s="26"/>
      <c r="I3" s="26"/>
      <c r="J3" s="26"/>
      <c r="K3" s="26"/>
      <c r="L3" s="26"/>
      <c r="M3" s="26"/>
      <c r="N3" s="26"/>
      <c r="O3" s="26"/>
      <c r="P3" s="26"/>
      <c r="Q3" s="26"/>
      <c r="R3" s="26"/>
      <c r="S3" s="26"/>
      <c r="T3" s="26"/>
      <c r="U3" s="26"/>
    </row>
    <row r="4" spans="1:24" ht="26.25" customHeight="1" x14ac:dyDescent="0.4">
      <c r="A4" s="24"/>
      <c r="B4" s="24"/>
      <c r="C4" s="25"/>
      <c r="D4" s="25"/>
      <c r="E4" s="25"/>
      <c r="F4" s="25"/>
      <c r="G4" s="25"/>
      <c r="H4" s="25"/>
      <c r="I4" s="25"/>
      <c r="J4" s="25"/>
      <c r="K4" s="25"/>
      <c r="L4" s="25"/>
      <c r="M4" s="25"/>
      <c r="N4" s="25"/>
      <c r="O4" s="25"/>
      <c r="P4" s="25"/>
      <c r="Q4" s="25"/>
      <c r="R4" s="25"/>
      <c r="S4" s="25"/>
      <c r="T4" s="25"/>
      <c r="U4" s="25"/>
    </row>
    <row r="16" spans="1:24" ht="15" x14ac:dyDescent="0.2">
      <c r="B16" s="23"/>
      <c r="C16" s="23"/>
      <c r="D16" s="23"/>
      <c r="E16" s="23"/>
      <c r="F16" s="23"/>
      <c r="G16" s="23"/>
      <c r="H16" s="23"/>
      <c r="I16" s="23"/>
      <c r="J16" s="23"/>
      <c r="K16" s="23"/>
      <c r="L16" s="23"/>
      <c r="M16" s="23"/>
      <c r="N16" s="23"/>
      <c r="O16" s="23"/>
      <c r="P16" s="23"/>
      <c r="Q16" s="23"/>
      <c r="R16" s="23"/>
      <c r="S16" s="23"/>
      <c r="T16" s="23"/>
      <c r="U16" s="23"/>
      <c r="V16" s="23"/>
      <c r="W16" s="23"/>
      <c r="X16" s="23"/>
    </row>
    <row r="17" spans="2:25" ht="15" x14ac:dyDescent="0.2">
      <c r="B17" s="23"/>
      <c r="C17" s="23"/>
      <c r="D17" s="23"/>
      <c r="E17" s="23"/>
      <c r="F17" s="23"/>
      <c r="G17" s="23"/>
      <c r="H17" s="23"/>
      <c r="I17" s="23"/>
      <c r="J17" s="23"/>
      <c r="K17" s="23"/>
      <c r="L17" s="23"/>
      <c r="M17" s="23"/>
      <c r="N17" s="23"/>
      <c r="O17" s="23"/>
      <c r="P17" s="23"/>
      <c r="Q17" s="23"/>
      <c r="R17" s="23"/>
      <c r="S17" s="23"/>
      <c r="T17" s="23"/>
      <c r="U17" s="23"/>
      <c r="V17" s="23"/>
      <c r="W17" s="23"/>
      <c r="X17" s="23"/>
      <c r="Y17" s="27"/>
    </row>
    <row r="18" spans="2:25" ht="15" x14ac:dyDescent="0.2">
      <c r="B18" s="23"/>
      <c r="C18" s="23"/>
      <c r="D18" s="23"/>
      <c r="E18" s="23"/>
      <c r="F18" s="23"/>
      <c r="G18" s="23"/>
      <c r="H18" s="23"/>
      <c r="I18" s="23"/>
      <c r="J18" s="23"/>
      <c r="K18" s="23"/>
      <c r="L18" s="23"/>
      <c r="M18" s="23"/>
      <c r="N18" s="23"/>
      <c r="O18" s="23"/>
      <c r="P18" s="23"/>
      <c r="Q18" s="23"/>
      <c r="R18" s="23"/>
      <c r="S18" s="23"/>
      <c r="T18" s="23"/>
      <c r="U18" s="23"/>
      <c r="V18" s="23"/>
      <c r="W18" s="23"/>
      <c r="X18" s="23"/>
      <c r="Y18" s="27"/>
    </row>
    <row r="19" spans="2:25" ht="15" x14ac:dyDescent="0.2">
      <c r="B19" s="23"/>
      <c r="C19" s="23"/>
      <c r="D19" s="23"/>
      <c r="E19" s="23"/>
      <c r="F19" s="23"/>
      <c r="G19" s="23"/>
      <c r="H19" s="23"/>
      <c r="I19" s="23"/>
      <c r="J19" s="23"/>
      <c r="K19" s="23"/>
      <c r="L19" s="23"/>
      <c r="M19" s="23"/>
      <c r="N19" s="23"/>
      <c r="O19" s="23"/>
      <c r="P19" s="23"/>
      <c r="Q19" s="23"/>
      <c r="R19" s="23"/>
      <c r="S19" s="23"/>
      <c r="T19" s="23"/>
      <c r="U19" s="23"/>
      <c r="V19" s="23"/>
      <c r="W19" s="23"/>
      <c r="X19" s="23"/>
      <c r="Y19" s="27"/>
    </row>
    <row r="20" spans="2:25" ht="15" x14ac:dyDescent="0.2">
      <c r="B20" s="23"/>
      <c r="C20" s="23"/>
      <c r="D20" s="23"/>
      <c r="E20" s="23"/>
      <c r="F20" s="23"/>
      <c r="G20" s="23"/>
      <c r="H20" s="23"/>
      <c r="I20" s="23"/>
      <c r="J20" s="23"/>
      <c r="K20" s="23"/>
      <c r="L20" s="23"/>
      <c r="M20" s="23"/>
      <c r="N20" s="23"/>
      <c r="O20" s="23"/>
      <c r="P20" s="23"/>
      <c r="Q20" s="23"/>
      <c r="R20" s="23"/>
      <c r="S20" s="23"/>
      <c r="T20" s="23"/>
      <c r="U20" s="23"/>
      <c r="V20" s="23"/>
      <c r="W20" s="23"/>
      <c r="X20" s="23"/>
      <c r="Y20" s="27"/>
    </row>
    <row r="21" spans="2:25" ht="15" x14ac:dyDescent="0.2">
      <c r="B21" s="23"/>
      <c r="C21" s="23"/>
      <c r="D21" s="23"/>
      <c r="E21" s="23"/>
      <c r="F21" s="23"/>
      <c r="G21" s="23"/>
      <c r="H21" s="23"/>
      <c r="I21" s="23"/>
      <c r="J21" s="23"/>
      <c r="K21" s="23"/>
      <c r="L21" s="23"/>
      <c r="M21" s="23"/>
      <c r="N21" s="23"/>
      <c r="O21" s="23"/>
      <c r="P21" s="23"/>
      <c r="Q21" s="23"/>
      <c r="R21" s="23"/>
      <c r="S21" s="23"/>
      <c r="T21" s="23"/>
      <c r="U21" s="23"/>
      <c r="V21" s="23"/>
      <c r="W21" s="23"/>
      <c r="X21" s="23"/>
      <c r="Y21" s="27"/>
    </row>
    <row r="22" spans="2:25" ht="15" x14ac:dyDescent="0.2">
      <c r="B22" s="23"/>
      <c r="C22" s="23"/>
      <c r="D22" s="23"/>
      <c r="E22" s="23"/>
      <c r="F22" s="23"/>
      <c r="G22" s="23"/>
      <c r="H22" s="23"/>
      <c r="I22" s="23"/>
      <c r="J22" s="23"/>
      <c r="K22" s="23"/>
      <c r="L22" s="23"/>
      <c r="M22" s="23"/>
      <c r="N22" s="23"/>
      <c r="O22" s="23"/>
      <c r="P22" s="23"/>
      <c r="Q22" s="23"/>
      <c r="R22" s="23"/>
      <c r="S22" s="23"/>
      <c r="T22" s="23"/>
      <c r="U22" s="23"/>
      <c r="V22" s="23"/>
      <c r="W22" s="23"/>
      <c r="X22" s="23"/>
      <c r="Y22" s="27"/>
    </row>
    <row r="23" spans="2:25" ht="15" x14ac:dyDescent="0.2">
      <c r="B23" s="23"/>
      <c r="C23" s="23"/>
      <c r="D23" s="23"/>
      <c r="E23" s="23"/>
      <c r="F23" s="23"/>
      <c r="G23" s="23"/>
      <c r="H23" s="23"/>
      <c r="I23" s="23"/>
      <c r="J23" s="23"/>
      <c r="K23" s="23"/>
      <c r="L23" s="23"/>
      <c r="M23" s="23"/>
      <c r="N23" s="23"/>
      <c r="O23" s="23"/>
      <c r="P23" s="23"/>
      <c r="Q23" s="23"/>
      <c r="R23" s="23"/>
      <c r="S23" s="23"/>
      <c r="T23" s="23"/>
      <c r="U23" s="23"/>
      <c r="V23" s="23"/>
      <c r="W23" s="23"/>
      <c r="X23" s="23"/>
      <c r="Y23" s="27"/>
    </row>
    <row r="24" spans="2:25" ht="15" x14ac:dyDescent="0.2">
      <c r="B24" s="23"/>
      <c r="C24" s="23"/>
      <c r="D24" s="23"/>
      <c r="E24" s="23"/>
      <c r="F24" s="23"/>
      <c r="G24" s="23"/>
      <c r="H24" s="23"/>
      <c r="I24" s="23"/>
      <c r="J24" s="23"/>
      <c r="K24" s="23"/>
      <c r="L24" s="23"/>
      <c r="M24" s="23"/>
      <c r="N24" s="23"/>
      <c r="O24" s="23"/>
      <c r="P24" s="23"/>
      <c r="Q24" s="23"/>
      <c r="R24" s="23"/>
      <c r="S24" s="23"/>
      <c r="T24" s="23"/>
      <c r="U24" s="23"/>
      <c r="V24" s="23"/>
      <c r="W24" s="23"/>
      <c r="X24" s="23"/>
      <c r="Y24" s="27"/>
    </row>
    <row r="25" spans="2:25" ht="15" x14ac:dyDescent="0.2">
      <c r="B25" s="23"/>
      <c r="C25" s="23"/>
      <c r="D25" s="23"/>
      <c r="E25" s="23"/>
      <c r="F25" s="23"/>
      <c r="G25" s="23"/>
      <c r="H25" s="23"/>
      <c r="I25" s="23"/>
      <c r="J25" s="23"/>
      <c r="K25" s="23"/>
      <c r="L25" s="23"/>
      <c r="M25" s="23"/>
      <c r="N25" s="23"/>
      <c r="O25" s="23"/>
      <c r="P25" s="23"/>
      <c r="Q25" s="23"/>
      <c r="R25" s="23"/>
      <c r="S25" s="23"/>
      <c r="T25" s="23"/>
      <c r="U25" s="23"/>
      <c r="V25" s="23"/>
      <c r="W25" s="23"/>
      <c r="X25" s="23"/>
      <c r="Y25" s="27"/>
    </row>
    <row r="26" spans="2:25" ht="15" x14ac:dyDescent="0.2">
      <c r="B26" s="23"/>
      <c r="C26" s="23"/>
      <c r="D26" s="23"/>
      <c r="E26" s="23"/>
      <c r="F26" s="23"/>
      <c r="G26" s="23"/>
      <c r="H26" s="23"/>
      <c r="I26" s="23"/>
      <c r="J26" s="23"/>
      <c r="K26" s="23"/>
      <c r="L26" s="23"/>
      <c r="M26" s="23"/>
      <c r="N26" s="23"/>
      <c r="O26" s="23"/>
      <c r="P26" s="23"/>
      <c r="Q26" s="23"/>
      <c r="R26" s="23"/>
      <c r="S26" s="23"/>
      <c r="T26" s="23"/>
      <c r="U26" s="23"/>
      <c r="V26" s="23"/>
      <c r="W26" s="23"/>
      <c r="X26" s="23"/>
      <c r="Y26" s="27"/>
    </row>
    <row r="27" spans="2:25" ht="15" x14ac:dyDescent="0.2">
      <c r="B27" s="23"/>
      <c r="C27" s="23"/>
      <c r="D27" s="23"/>
      <c r="E27" s="23"/>
      <c r="F27" s="23"/>
      <c r="G27" s="23"/>
      <c r="H27" s="23"/>
      <c r="I27" s="23"/>
      <c r="J27" s="23"/>
      <c r="K27" s="23"/>
      <c r="L27" s="23"/>
      <c r="M27" s="23"/>
      <c r="N27" s="23"/>
      <c r="O27" s="23"/>
      <c r="P27" s="23"/>
      <c r="Q27" s="23"/>
      <c r="R27" s="23"/>
      <c r="S27" s="23"/>
      <c r="T27" s="23"/>
      <c r="U27" s="23"/>
      <c r="V27" s="23"/>
      <c r="W27" s="23"/>
      <c r="X27" s="23"/>
      <c r="Y27" s="27"/>
    </row>
    <row r="28" spans="2:25" ht="15" x14ac:dyDescent="0.2">
      <c r="B28" s="23"/>
      <c r="C28" s="23"/>
      <c r="D28" s="23"/>
      <c r="E28" s="23"/>
      <c r="F28" s="23"/>
      <c r="G28" s="23"/>
      <c r="H28" s="23"/>
      <c r="I28" s="23"/>
      <c r="J28" s="23"/>
      <c r="K28" s="23"/>
      <c r="L28" s="23"/>
      <c r="M28" s="23"/>
      <c r="N28" s="23"/>
      <c r="O28" s="23"/>
      <c r="P28" s="23"/>
      <c r="Q28" s="23"/>
      <c r="R28" s="23"/>
      <c r="S28" s="23"/>
      <c r="T28" s="23"/>
      <c r="U28" s="23"/>
      <c r="V28" s="23"/>
      <c r="W28" s="23"/>
      <c r="X28" s="23"/>
      <c r="Y28" s="27"/>
    </row>
    <row r="29" spans="2:25" ht="15" x14ac:dyDescent="0.2">
      <c r="B29" s="23"/>
      <c r="C29" s="23"/>
      <c r="D29" s="23"/>
      <c r="E29" s="23"/>
      <c r="F29" s="23"/>
      <c r="G29" s="23"/>
      <c r="H29" s="23"/>
      <c r="I29" s="23"/>
      <c r="J29" s="23"/>
      <c r="K29" s="23"/>
      <c r="L29" s="23"/>
      <c r="M29" s="23"/>
      <c r="N29" s="23"/>
      <c r="O29" s="23"/>
      <c r="P29" s="23"/>
      <c r="Q29" s="23"/>
      <c r="R29" s="23"/>
      <c r="S29" s="23"/>
      <c r="T29" s="23"/>
      <c r="U29" s="23"/>
      <c r="V29" s="23"/>
      <c r="W29" s="23"/>
      <c r="X29" s="23"/>
      <c r="Y29" s="27"/>
    </row>
    <row r="74" spans="2:4" x14ac:dyDescent="0.2">
      <c r="B74" s="22"/>
      <c r="C74" s="22"/>
      <c r="D74" s="22"/>
    </row>
    <row r="75" spans="2:4" x14ac:dyDescent="0.2">
      <c r="B75" s="22"/>
      <c r="C75" s="22"/>
      <c r="D75" s="22"/>
    </row>
    <row r="76" spans="2:4" x14ac:dyDescent="0.2">
      <c r="B76" s="2"/>
    </row>
    <row r="77" spans="2:4" x14ac:dyDescent="0.2">
      <c r="B77" s="2"/>
    </row>
    <row r="78" spans="2:4" x14ac:dyDescent="0.2">
      <c r="B78" s="2"/>
    </row>
  </sheetData>
  <mergeCells count="1">
    <mergeCell ref="A3:B3"/>
  </mergeCells>
  <printOptions horizontalCentered="1"/>
  <pageMargins left="3.937007874015748E-2" right="3.937007874015748E-2" top="0.74803149606299213" bottom="0.74803149606299213" header="0.31496062992125984" footer="0.31496062992125984"/>
  <pageSetup paperSize="9" scale="61" orientation="landscape" r:id="rId1"/>
  <headerFooter alignWithMargins="0">
    <oddFooter>&amp;R13</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outlinePr summaryBelow="0"/>
  </sheetPr>
  <dimension ref="B3:J52"/>
  <sheetViews>
    <sheetView showGridLines="0" zoomScale="90" zoomScaleNormal="90" workbookViewId="0">
      <pane ySplit="8" topLeftCell="A9" activePane="bottomLeft" state="frozenSplit"/>
      <selection pane="bottomLeft" activeCell="K42" sqref="K42"/>
    </sheetView>
  </sheetViews>
  <sheetFormatPr defaultRowHeight="13.5" customHeight="1" x14ac:dyDescent="0.2"/>
  <cols>
    <col min="1" max="1" width="3.42578125" customWidth="1"/>
    <col min="2" max="2" width="7.85546875" style="1" customWidth="1"/>
    <col min="3" max="3" width="101.7109375" style="3" customWidth="1"/>
    <col min="4" max="4" width="12.85546875" style="1" customWidth="1"/>
    <col min="5" max="5" width="12.140625" style="1" customWidth="1"/>
    <col min="6" max="6" width="10.85546875" style="1" customWidth="1"/>
    <col min="7" max="7" width="19" customWidth="1"/>
    <col min="8" max="8" width="9.5703125" customWidth="1"/>
    <col min="9" max="9" width="6" customWidth="1"/>
  </cols>
  <sheetData>
    <row r="3" spans="2:10" ht="13.5" customHeight="1" x14ac:dyDescent="0.2">
      <c r="C3" s="195"/>
    </row>
    <row r="6" spans="2:10" ht="13.5" customHeight="1" x14ac:dyDescent="0.25">
      <c r="B6" s="4" t="s">
        <v>50</v>
      </c>
    </row>
    <row r="7" spans="2:10" ht="13.5" customHeight="1" thickBot="1" x14ac:dyDescent="0.25"/>
    <row r="8" spans="2:10" s="14" customFormat="1" ht="26.25" customHeight="1" thickBot="1" x14ac:dyDescent="0.25">
      <c r="B8" s="234" t="s">
        <v>0</v>
      </c>
      <c r="C8" s="235" t="s">
        <v>51</v>
      </c>
      <c r="D8" s="235" t="s">
        <v>2</v>
      </c>
      <c r="E8" s="235" t="s">
        <v>28</v>
      </c>
      <c r="F8" s="235" t="s">
        <v>3</v>
      </c>
      <c r="G8" s="235" t="s">
        <v>4</v>
      </c>
      <c r="H8" s="235" t="s">
        <v>5</v>
      </c>
      <c r="I8" s="236" t="s">
        <v>6</v>
      </c>
    </row>
    <row r="9" spans="2:10" ht="13.5" customHeight="1" x14ac:dyDescent="0.2">
      <c r="B9" s="205" t="s">
        <v>11</v>
      </c>
      <c r="C9" t="s">
        <v>375</v>
      </c>
      <c r="D9" s="213" t="s">
        <v>11</v>
      </c>
      <c r="E9" s="214">
        <v>2</v>
      </c>
      <c r="F9" s="230" t="s">
        <v>47</v>
      </c>
      <c r="G9" s="213" t="s">
        <v>56</v>
      </c>
      <c r="H9" s="203" t="s">
        <v>48</v>
      </c>
      <c r="I9" s="206" t="s">
        <v>13</v>
      </c>
      <c r="J9" s="204"/>
    </row>
    <row r="10" spans="2:10" ht="13.5" customHeight="1" x14ac:dyDescent="0.2">
      <c r="B10" s="207" t="s">
        <v>14</v>
      </c>
      <c r="C10" t="s">
        <v>376</v>
      </c>
      <c r="D10" s="200" t="s">
        <v>11</v>
      </c>
      <c r="E10" s="215">
        <v>2</v>
      </c>
      <c r="F10" s="231" t="s">
        <v>177</v>
      </c>
      <c r="G10" s="200" t="s">
        <v>56</v>
      </c>
      <c r="H10" s="198" t="s">
        <v>48</v>
      </c>
      <c r="I10" s="208" t="s">
        <v>13</v>
      </c>
      <c r="J10" s="204"/>
    </row>
    <row r="11" spans="2:10" ht="13.5" customHeight="1" x14ac:dyDescent="0.2">
      <c r="B11" s="207" t="s">
        <v>15</v>
      </c>
      <c r="C11" t="s">
        <v>377</v>
      </c>
      <c r="D11" s="268" t="s">
        <v>14</v>
      </c>
      <c r="E11" s="200">
        <v>2</v>
      </c>
      <c r="F11" s="231" t="s">
        <v>177</v>
      </c>
      <c r="G11" s="200" t="s">
        <v>56</v>
      </c>
      <c r="H11" s="198" t="s">
        <v>48</v>
      </c>
      <c r="I11" s="209"/>
      <c r="J11" s="204"/>
    </row>
    <row r="12" spans="2:10" ht="13.5" customHeight="1" x14ac:dyDescent="0.2">
      <c r="B12" s="210" t="s">
        <v>7</v>
      </c>
      <c r="C12" t="s">
        <v>378</v>
      </c>
      <c r="D12" s="200" t="s">
        <v>7</v>
      </c>
      <c r="E12" s="216">
        <v>2</v>
      </c>
      <c r="F12" s="231" t="s">
        <v>177</v>
      </c>
      <c r="G12" s="200" t="s">
        <v>56</v>
      </c>
      <c r="H12" s="198" t="s">
        <v>48</v>
      </c>
      <c r="I12" s="211"/>
      <c r="J12" s="204"/>
    </row>
    <row r="13" spans="2:10" ht="13.5" customHeight="1" x14ac:dyDescent="0.2">
      <c r="B13" s="210" t="s">
        <v>8</v>
      </c>
      <c r="C13" t="s">
        <v>379</v>
      </c>
      <c r="D13" s="200" t="s">
        <v>14</v>
      </c>
      <c r="E13" s="217">
        <v>2</v>
      </c>
      <c r="F13" s="228" t="s">
        <v>177</v>
      </c>
      <c r="G13" s="200" t="s">
        <v>56</v>
      </c>
      <c r="H13" s="198" t="s">
        <v>48</v>
      </c>
      <c r="I13" s="211"/>
      <c r="J13" s="204"/>
    </row>
    <row r="14" spans="2:10" ht="13.5" customHeight="1" x14ac:dyDescent="0.2">
      <c r="B14" s="210" t="s">
        <v>43</v>
      </c>
      <c r="C14" t="s">
        <v>380</v>
      </c>
      <c r="D14" s="200" t="s">
        <v>8</v>
      </c>
      <c r="E14" s="217">
        <v>2</v>
      </c>
      <c r="F14" s="228" t="s">
        <v>177</v>
      </c>
      <c r="G14" s="200" t="s">
        <v>56</v>
      </c>
      <c r="H14" s="198" t="s">
        <v>48</v>
      </c>
      <c r="I14" s="212" t="s">
        <v>13</v>
      </c>
      <c r="J14" s="204"/>
    </row>
    <row r="15" spans="2:10" ht="13.5" customHeight="1" x14ac:dyDescent="0.2">
      <c r="B15" s="219" t="s">
        <v>44</v>
      </c>
      <c r="C15" t="s">
        <v>381</v>
      </c>
      <c r="D15" s="200" t="s">
        <v>8</v>
      </c>
      <c r="E15" s="217">
        <v>1</v>
      </c>
      <c r="F15" s="228" t="s">
        <v>177</v>
      </c>
      <c r="G15" s="200" t="s">
        <v>56</v>
      </c>
      <c r="H15" s="198" t="s">
        <v>48</v>
      </c>
      <c r="I15" s="212" t="s">
        <v>13</v>
      </c>
      <c r="J15" s="204"/>
    </row>
    <row r="16" spans="2:10" ht="13.5" customHeight="1" x14ac:dyDescent="0.2">
      <c r="B16" s="219" t="s">
        <v>65</v>
      </c>
      <c r="C16" t="s">
        <v>382</v>
      </c>
      <c r="D16" s="200" t="s">
        <v>8</v>
      </c>
      <c r="E16" s="217">
        <v>1</v>
      </c>
      <c r="F16" s="232" t="s">
        <v>47</v>
      </c>
      <c r="G16" s="200" t="s">
        <v>56</v>
      </c>
      <c r="H16" s="198" t="s">
        <v>48</v>
      </c>
      <c r="I16" s="212" t="s">
        <v>13</v>
      </c>
      <c r="J16" s="204"/>
    </row>
    <row r="17" spans="2:10" ht="13.5" customHeight="1" x14ac:dyDescent="0.2">
      <c r="B17" s="220" t="s">
        <v>66</v>
      </c>
      <c r="C17" t="s">
        <v>383</v>
      </c>
      <c r="D17" s="200" t="s">
        <v>8</v>
      </c>
      <c r="E17" s="215">
        <v>2</v>
      </c>
      <c r="F17" s="232" t="s">
        <v>47</v>
      </c>
      <c r="G17" s="200" t="s">
        <v>56</v>
      </c>
      <c r="H17" s="198" t="s">
        <v>48</v>
      </c>
      <c r="I17" s="212" t="s">
        <v>13</v>
      </c>
      <c r="J17" s="204"/>
    </row>
    <row r="18" spans="2:10" ht="13.5" customHeight="1" x14ac:dyDescent="0.2">
      <c r="B18" s="219" t="s">
        <v>171</v>
      </c>
      <c r="C18" t="s">
        <v>384</v>
      </c>
      <c r="D18" s="268" t="s">
        <v>8</v>
      </c>
      <c r="E18" s="199">
        <v>1</v>
      </c>
      <c r="F18" s="226" t="s">
        <v>177</v>
      </c>
      <c r="G18" s="200" t="s">
        <v>56</v>
      </c>
      <c r="H18" s="198" t="s">
        <v>48</v>
      </c>
      <c r="I18" s="212" t="s">
        <v>13</v>
      </c>
      <c r="J18" s="204"/>
    </row>
    <row r="19" spans="2:10" ht="13.5" customHeight="1" x14ac:dyDescent="0.2">
      <c r="B19" s="219" t="s">
        <v>16</v>
      </c>
      <c r="C19" t="s">
        <v>385</v>
      </c>
      <c r="D19" s="200" t="s">
        <v>15</v>
      </c>
      <c r="E19" s="199">
        <v>1</v>
      </c>
      <c r="F19" s="227" t="s">
        <v>47</v>
      </c>
      <c r="G19" s="199" t="s">
        <v>67</v>
      </c>
      <c r="H19" s="198" t="s">
        <v>48</v>
      </c>
      <c r="I19" s="212" t="s">
        <v>13</v>
      </c>
      <c r="J19" s="204"/>
    </row>
    <row r="20" spans="2:10" ht="13.5" customHeight="1" x14ac:dyDescent="0.2">
      <c r="B20" s="219" t="s">
        <v>130</v>
      </c>
      <c r="C20" t="s">
        <v>387</v>
      </c>
      <c r="D20" s="200" t="s">
        <v>16</v>
      </c>
      <c r="E20" s="199">
        <v>1</v>
      </c>
      <c r="F20" s="228" t="s">
        <v>47</v>
      </c>
      <c r="G20" s="199" t="s">
        <v>67</v>
      </c>
      <c r="H20" s="198" t="s">
        <v>48</v>
      </c>
      <c r="I20" s="212" t="s">
        <v>13</v>
      </c>
      <c r="J20" s="204"/>
    </row>
    <row r="21" spans="2:10" ht="13.5" customHeight="1" x14ac:dyDescent="0.2">
      <c r="B21" s="219" t="s">
        <v>71</v>
      </c>
      <c r="C21" t="s">
        <v>386</v>
      </c>
      <c r="D21" s="200" t="s">
        <v>130</v>
      </c>
      <c r="E21" s="199">
        <v>1</v>
      </c>
      <c r="F21" s="228" t="s">
        <v>47</v>
      </c>
      <c r="G21" s="199" t="s">
        <v>67</v>
      </c>
      <c r="H21" s="198" t="s">
        <v>48</v>
      </c>
      <c r="I21" s="212" t="s">
        <v>13</v>
      </c>
      <c r="J21" s="204"/>
    </row>
    <row r="22" spans="2:10" ht="13.5" customHeight="1" x14ac:dyDescent="0.2">
      <c r="B22" s="219" t="s">
        <v>17</v>
      </c>
      <c r="C22" t="s">
        <v>389</v>
      </c>
      <c r="D22" s="269" t="s">
        <v>71</v>
      </c>
      <c r="E22" s="199">
        <v>1</v>
      </c>
      <c r="F22" s="228" t="s">
        <v>47</v>
      </c>
      <c r="G22" s="199" t="s">
        <v>67</v>
      </c>
      <c r="H22" s="198" t="s">
        <v>48</v>
      </c>
      <c r="I22" s="212" t="s">
        <v>13</v>
      </c>
      <c r="J22" s="204"/>
    </row>
    <row r="23" spans="2:10" ht="13.5" customHeight="1" x14ac:dyDescent="0.2">
      <c r="B23" s="219" t="s">
        <v>131</v>
      </c>
      <c r="C23" s="202" t="s">
        <v>389</v>
      </c>
      <c r="D23" s="200" t="s">
        <v>17</v>
      </c>
      <c r="E23" s="199">
        <v>2</v>
      </c>
      <c r="F23" s="228" t="s">
        <v>47</v>
      </c>
      <c r="G23" s="199" t="s">
        <v>67</v>
      </c>
      <c r="H23" s="198" t="s">
        <v>48</v>
      </c>
      <c r="I23" s="212" t="s">
        <v>13</v>
      </c>
      <c r="J23" s="204"/>
    </row>
    <row r="24" spans="2:10" ht="13.5" customHeight="1" x14ac:dyDescent="0.2">
      <c r="B24" s="219" t="s">
        <v>139</v>
      </c>
      <c r="C24" s="202" t="s">
        <v>138</v>
      </c>
      <c r="D24" s="200" t="s">
        <v>17</v>
      </c>
      <c r="E24" s="199">
        <v>2</v>
      </c>
      <c r="F24" s="229" t="s">
        <v>177</v>
      </c>
      <c r="G24" s="199" t="s">
        <v>67</v>
      </c>
      <c r="H24" s="198" t="s">
        <v>48</v>
      </c>
      <c r="I24" s="212" t="s">
        <v>13</v>
      </c>
      <c r="J24" s="204"/>
    </row>
    <row r="25" spans="2:10" ht="13.5" customHeight="1" x14ac:dyDescent="0.2">
      <c r="B25" s="219" t="s">
        <v>10</v>
      </c>
      <c r="C25" t="s">
        <v>390</v>
      </c>
      <c r="D25" s="213" t="s">
        <v>10</v>
      </c>
      <c r="E25" s="199">
        <v>2</v>
      </c>
      <c r="F25" s="227" t="s">
        <v>177</v>
      </c>
      <c r="G25" s="199" t="s">
        <v>74</v>
      </c>
      <c r="H25" s="197" t="s">
        <v>48</v>
      </c>
      <c r="I25" s="212" t="s">
        <v>13</v>
      </c>
      <c r="J25" s="204"/>
    </row>
    <row r="26" spans="2:10" ht="13.5" customHeight="1" x14ac:dyDescent="0.2">
      <c r="B26" s="219" t="s">
        <v>76</v>
      </c>
      <c r="C26" t="s">
        <v>75</v>
      </c>
      <c r="D26" s="200" t="s">
        <v>10</v>
      </c>
      <c r="E26" s="199">
        <v>1</v>
      </c>
      <c r="F26" s="227" t="s">
        <v>177</v>
      </c>
      <c r="G26" s="199" t="s">
        <v>74</v>
      </c>
      <c r="H26" s="197" t="s">
        <v>48</v>
      </c>
      <c r="I26" s="212" t="s">
        <v>13</v>
      </c>
      <c r="J26" s="204"/>
    </row>
    <row r="27" spans="2:10" ht="13.5" customHeight="1" x14ac:dyDescent="0.2">
      <c r="B27" s="219" t="s">
        <v>172</v>
      </c>
      <c r="C27" t="s">
        <v>391</v>
      </c>
      <c r="D27" s="200" t="s">
        <v>10</v>
      </c>
      <c r="E27" s="199">
        <v>2</v>
      </c>
      <c r="F27" s="227" t="s">
        <v>47</v>
      </c>
      <c r="G27" s="199" t="s">
        <v>74</v>
      </c>
      <c r="H27" s="197" t="s">
        <v>48</v>
      </c>
      <c r="I27" s="212" t="s">
        <v>13</v>
      </c>
      <c r="J27" s="204"/>
    </row>
    <row r="28" spans="2:10" ht="13.5" customHeight="1" x14ac:dyDescent="0.2">
      <c r="B28" s="220" t="s">
        <v>34</v>
      </c>
      <c r="C28" t="s">
        <v>77</v>
      </c>
      <c r="D28" s="200" t="s">
        <v>34</v>
      </c>
      <c r="E28" s="199">
        <v>1</v>
      </c>
      <c r="F28" s="227" t="s">
        <v>177</v>
      </c>
      <c r="G28" s="199" t="s">
        <v>74</v>
      </c>
      <c r="H28" s="197" t="s">
        <v>48</v>
      </c>
      <c r="I28" s="212" t="s">
        <v>13</v>
      </c>
      <c r="J28" s="204"/>
    </row>
    <row r="29" spans="2:10" ht="13.5" customHeight="1" x14ac:dyDescent="0.2">
      <c r="B29" s="220" t="s">
        <v>46</v>
      </c>
      <c r="C29" t="s">
        <v>80</v>
      </c>
      <c r="D29" s="200" t="s">
        <v>34</v>
      </c>
      <c r="E29" s="200">
        <v>2</v>
      </c>
      <c r="F29" s="227" t="s">
        <v>47</v>
      </c>
      <c r="G29" s="199" t="s">
        <v>74</v>
      </c>
      <c r="H29" s="197" t="s">
        <v>48</v>
      </c>
      <c r="I29" s="212" t="s">
        <v>13</v>
      </c>
      <c r="J29" s="204"/>
    </row>
    <row r="30" spans="2:10" ht="13.5" customHeight="1" x14ac:dyDescent="0.2">
      <c r="B30" s="220" t="s">
        <v>78</v>
      </c>
      <c r="C30" t="s">
        <v>392</v>
      </c>
      <c r="D30" s="200" t="s">
        <v>34</v>
      </c>
      <c r="E30" s="200">
        <v>1</v>
      </c>
      <c r="F30" s="227" t="s">
        <v>177</v>
      </c>
      <c r="G30" s="199" t="s">
        <v>74</v>
      </c>
      <c r="H30" s="198" t="s">
        <v>48</v>
      </c>
      <c r="I30" s="212" t="s">
        <v>13</v>
      </c>
      <c r="J30" s="204"/>
    </row>
    <row r="31" spans="2:10" ht="13.5" customHeight="1" x14ac:dyDescent="0.2">
      <c r="B31" s="220" t="s">
        <v>79</v>
      </c>
      <c r="C31" t="s">
        <v>393</v>
      </c>
      <c r="D31" s="268" t="s">
        <v>34</v>
      </c>
      <c r="E31" s="200">
        <v>2</v>
      </c>
      <c r="F31" s="227" t="s">
        <v>47</v>
      </c>
      <c r="G31" s="199" t="s">
        <v>74</v>
      </c>
      <c r="H31" s="198" t="s">
        <v>48</v>
      </c>
      <c r="I31" s="212" t="s">
        <v>13</v>
      </c>
      <c r="J31" s="204"/>
    </row>
    <row r="32" spans="2:10" ht="23.25" customHeight="1" x14ac:dyDescent="0.2">
      <c r="B32" s="220" t="s">
        <v>18</v>
      </c>
      <c r="C32" t="s">
        <v>415</v>
      </c>
      <c r="D32" s="200" t="s">
        <v>18</v>
      </c>
      <c r="E32" s="200">
        <v>2</v>
      </c>
      <c r="F32" s="227" t="s">
        <v>177</v>
      </c>
      <c r="G32" s="199" t="s">
        <v>122</v>
      </c>
      <c r="H32" s="198" t="s">
        <v>48</v>
      </c>
      <c r="I32" s="212" t="s">
        <v>13</v>
      </c>
      <c r="J32" s="204"/>
    </row>
    <row r="33" spans="2:10" ht="13.5" customHeight="1" x14ac:dyDescent="0.2">
      <c r="B33" s="219" t="s">
        <v>19</v>
      </c>
      <c r="C33" t="s">
        <v>395</v>
      </c>
      <c r="D33" s="199" t="s">
        <v>19</v>
      </c>
      <c r="E33" s="199">
        <v>2</v>
      </c>
      <c r="F33" s="227" t="s">
        <v>177</v>
      </c>
      <c r="G33" s="199" t="s">
        <v>122</v>
      </c>
      <c r="H33" s="198" t="s">
        <v>48</v>
      </c>
      <c r="I33" s="212" t="s">
        <v>13</v>
      </c>
      <c r="J33" s="204"/>
    </row>
    <row r="34" spans="2:10" ht="13.5" customHeight="1" x14ac:dyDescent="0.2">
      <c r="B34" s="219" t="s">
        <v>20</v>
      </c>
      <c r="C34" t="s">
        <v>416</v>
      </c>
      <c r="D34" s="199" t="s">
        <v>20</v>
      </c>
      <c r="E34" s="199">
        <v>1</v>
      </c>
      <c r="F34" s="227" t="s">
        <v>177</v>
      </c>
      <c r="G34" s="199" t="s">
        <v>122</v>
      </c>
      <c r="H34" s="198" t="s">
        <v>48</v>
      </c>
      <c r="I34" s="212" t="s">
        <v>13</v>
      </c>
      <c r="J34" s="204"/>
    </row>
    <row r="35" spans="2:10" ht="13.5" customHeight="1" x14ac:dyDescent="0.2">
      <c r="B35" s="220" t="s">
        <v>90</v>
      </c>
      <c r="C35" t="s">
        <v>417</v>
      </c>
      <c r="D35" s="200" t="s">
        <v>90</v>
      </c>
      <c r="E35" s="200">
        <v>1</v>
      </c>
      <c r="F35" s="227" t="s">
        <v>47</v>
      </c>
      <c r="G35" s="200" t="s">
        <v>123</v>
      </c>
      <c r="H35" s="198" t="s">
        <v>48</v>
      </c>
      <c r="I35" s="212" t="s">
        <v>13</v>
      </c>
      <c r="J35" s="204"/>
    </row>
    <row r="36" spans="2:10" ht="13.5" customHeight="1" x14ac:dyDescent="0.2">
      <c r="B36" s="220" t="s">
        <v>91</v>
      </c>
      <c r="C36" t="s">
        <v>398</v>
      </c>
      <c r="D36" s="200" t="s">
        <v>91</v>
      </c>
      <c r="E36" s="200">
        <v>1</v>
      </c>
      <c r="F36" s="227" t="s">
        <v>47</v>
      </c>
      <c r="G36" s="200" t="s">
        <v>123</v>
      </c>
      <c r="H36" s="198" t="s">
        <v>48</v>
      </c>
      <c r="I36" s="212" t="s">
        <v>13</v>
      </c>
      <c r="J36" s="204"/>
    </row>
    <row r="37" spans="2:10" ht="13.5" customHeight="1" x14ac:dyDescent="0.2">
      <c r="B37" s="220" t="s">
        <v>92</v>
      </c>
      <c r="C37" t="s">
        <v>399</v>
      </c>
      <c r="D37" s="200" t="s">
        <v>92</v>
      </c>
      <c r="E37" s="200">
        <v>1</v>
      </c>
      <c r="F37" s="227" t="s">
        <v>47</v>
      </c>
      <c r="G37" s="200" t="s">
        <v>123</v>
      </c>
      <c r="H37" s="198" t="s">
        <v>48</v>
      </c>
      <c r="I37" s="212" t="s">
        <v>13</v>
      </c>
      <c r="J37" s="204"/>
    </row>
    <row r="38" spans="2:10" ht="13.5" customHeight="1" x14ac:dyDescent="0.2">
      <c r="B38" s="220" t="s">
        <v>97</v>
      </c>
      <c r="C38" t="s">
        <v>418</v>
      </c>
      <c r="D38" s="200" t="s">
        <v>97</v>
      </c>
      <c r="E38" s="200">
        <v>2</v>
      </c>
      <c r="F38" s="227" t="s">
        <v>47</v>
      </c>
      <c r="G38" s="200" t="s">
        <v>125</v>
      </c>
      <c r="H38" s="198" t="s">
        <v>48</v>
      </c>
      <c r="I38" s="212" t="s">
        <v>13</v>
      </c>
      <c r="J38" s="204"/>
    </row>
    <row r="39" spans="2:10" ht="13.5" customHeight="1" x14ac:dyDescent="0.2">
      <c r="B39" s="220" t="s">
        <v>98</v>
      </c>
      <c r="C39" t="s">
        <v>419</v>
      </c>
      <c r="D39" s="200" t="s">
        <v>98</v>
      </c>
      <c r="E39" s="200">
        <v>2</v>
      </c>
      <c r="F39" s="227" t="s">
        <v>177</v>
      </c>
      <c r="G39" s="200" t="s">
        <v>126</v>
      </c>
      <c r="H39" s="198" t="s">
        <v>48</v>
      </c>
      <c r="I39" s="212" t="s">
        <v>13</v>
      </c>
      <c r="J39" s="204"/>
    </row>
    <row r="40" spans="2:10" ht="13.5" customHeight="1" x14ac:dyDescent="0.2">
      <c r="B40" s="220" t="s">
        <v>100</v>
      </c>
      <c r="C40" t="s">
        <v>420</v>
      </c>
      <c r="D40" s="200" t="s">
        <v>100</v>
      </c>
      <c r="E40" s="200">
        <v>2</v>
      </c>
      <c r="F40" s="227" t="s">
        <v>177</v>
      </c>
      <c r="G40" s="200" t="s">
        <v>126</v>
      </c>
      <c r="H40" s="198" t="s">
        <v>48</v>
      </c>
      <c r="I40" s="212" t="s">
        <v>13</v>
      </c>
      <c r="J40" s="204"/>
    </row>
    <row r="41" spans="2:10" ht="13.5" customHeight="1" x14ac:dyDescent="0.2">
      <c r="B41" s="220" t="s">
        <v>105</v>
      </c>
      <c r="C41" t="s">
        <v>421</v>
      </c>
      <c r="D41" s="200" t="s">
        <v>105</v>
      </c>
      <c r="E41" s="200">
        <v>2</v>
      </c>
      <c r="F41" s="227" t="s">
        <v>177</v>
      </c>
      <c r="G41" s="200" t="s">
        <v>128</v>
      </c>
      <c r="H41" s="198" t="s">
        <v>48</v>
      </c>
      <c r="I41" s="212" t="s">
        <v>13</v>
      </c>
      <c r="J41" s="204"/>
    </row>
    <row r="42" spans="2:10" ht="13.5" customHeight="1" x14ac:dyDescent="0.2">
      <c r="B42" s="220" t="s">
        <v>106</v>
      </c>
      <c r="C42" t="s">
        <v>422</v>
      </c>
      <c r="D42" s="200" t="s">
        <v>106</v>
      </c>
      <c r="E42" s="200">
        <v>2</v>
      </c>
      <c r="F42" s="227" t="s">
        <v>177</v>
      </c>
      <c r="G42" s="200" t="s">
        <v>128</v>
      </c>
      <c r="H42" s="198" t="s">
        <v>48</v>
      </c>
      <c r="I42" s="212" t="s">
        <v>13</v>
      </c>
      <c r="J42" s="204"/>
    </row>
    <row r="43" spans="2:10" ht="13.5" customHeight="1" x14ac:dyDescent="0.2">
      <c r="B43" s="220" t="s">
        <v>107</v>
      </c>
      <c r="C43" t="s">
        <v>423</v>
      </c>
      <c r="D43" s="200" t="s">
        <v>107</v>
      </c>
      <c r="E43" s="200">
        <v>2</v>
      </c>
      <c r="F43" s="227" t="s">
        <v>177</v>
      </c>
      <c r="G43" s="200" t="s">
        <v>128</v>
      </c>
      <c r="H43" s="198" t="s">
        <v>48</v>
      </c>
      <c r="I43" s="212" t="s">
        <v>13</v>
      </c>
      <c r="J43" s="204"/>
    </row>
    <row r="44" spans="2:10" ht="13.5" customHeight="1" x14ac:dyDescent="0.2">
      <c r="B44" s="220" t="s">
        <v>112</v>
      </c>
      <c r="C44" t="s">
        <v>424</v>
      </c>
      <c r="D44" s="200" t="s">
        <v>112</v>
      </c>
      <c r="E44" s="200">
        <v>2</v>
      </c>
      <c r="F44" s="227" t="s">
        <v>177</v>
      </c>
      <c r="G44" s="200" t="s">
        <v>128</v>
      </c>
      <c r="H44" s="198" t="s">
        <v>48</v>
      </c>
      <c r="I44" s="212" t="s">
        <v>13</v>
      </c>
      <c r="J44" s="204"/>
    </row>
    <row r="45" spans="2:10" ht="13.5" customHeight="1" x14ac:dyDescent="0.2">
      <c r="B45" s="220" t="s">
        <v>113</v>
      </c>
      <c r="C45" t="s">
        <v>425</v>
      </c>
      <c r="D45" s="200" t="s">
        <v>113</v>
      </c>
      <c r="E45" s="200">
        <v>2</v>
      </c>
      <c r="F45" s="227" t="s">
        <v>177</v>
      </c>
      <c r="G45" s="200" t="s">
        <v>128</v>
      </c>
      <c r="H45" s="198" t="s">
        <v>48</v>
      </c>
      <c r="I45" s="212" t="s">
        <v>13</v>
      </c>
      <c r="J45" s="204"/>
    </row>
    <row r="46" spans="2:10" ht="13.5" customHeight="1" x14ac:dyDescent="0.2">
      <c r="B46" s="220" t="s">
        <v>114</v>
      </c>
      <c r="C46" t="s">
        <v>426</v>
      </c>
      <c r="D46" s="200" t="s">
        <v>114</v>
      </c>
      <c r="E46" s="200">
        <v>2</v>
      </c>
      <c r="F46" s="227" t="s">
        <v>177</v>
      </c>
      <c r="G46" s="200" t="s">
        <v>128</v>
      </c>
      <c r="H46" s="198" t="s">
        <v>48</v>
      </c>
      <c r="I46" s="212" t="s">
        <v>13</v>
      </c>
      <c r="J46" s="204"/>
    </row>
    <row r="47" spans="2:10" ht="13.5" customHeight="1" x14ac:dyDescent="0.2">
      <c r="B47" s="220" t="s">
        <v>118</v>
      </c>
      <c r="C47" t="s">
        <v>427</v>
      </c>
      <c r="D47" s="200" t="s">
        <v>118</v>
      </c>
      <c r="E47" s="200">
        <v>2</v>
      </c>
      <c r="F47" s="227" t="s">
        <v>177</v>
      </c>
      <c r="G47" s="200" t="s">
        <v>127</v>
      </c>
      <c r="H47" s="198" t="s">
        <v>48</v>
      </c>
      <c r="I47" s="212" t="s">
        <v>13</v>
      </c>
      <c r="J47" s="204"/>
    </row>
    <row r="48" spans="2:10" ht="13.5" customHeight="1" x14ac:dyDescent="0.2">
      <c r="B48" s="220" t="s">
        <v>119</v>
      </c>
      <c r="C48" t="s">
        <v>410</v>
      </c>
      <c r="D48" s="200" t="s">
        <v>119</v>
      </c>
      <c r="E48" s="200">
        <v>2</v>
      </c>
      <c r="F48" s="227" t="s">
        <v>177</v>
      </c>
      <c r="G48" s="200" t="s">
        <v>126</v>
      </c>
      <c r="H48" s="198" t="s">
        <v>48</v>
      </c>
      <c r="I48" s="212" t="s">
        <v>13</v>
      </c>
      <c r="J48" s="204"/>
    </row>
    <row r="49" spans="2:10" ht="13.5" customHeight="1" x14ac:dyDescent="0.2">
      <c r="B49" s="221" t="s">
        <v>120</v>
      </c>
      <c r="C49" t="s">
        <v>411</v>
      </c>
      <c r="D49" s="201" t="s">
        <v>120</v>
      </c>
      <c r="E49" s="200">
        <v>2</v>
      </c>
      <c r="F49" s="227" t="s">
        <v>177</v>
      </c>
      <c r="G49" s="201" t="s">
        <v>126</v>
      </c>
      <c r="H49" s="198" t="s">
        <v>48</v>
      </c>
      <c r="I49" s="212" t="s">
        <v>13</v>
      </c>
      <c r="J49" s="204"/>
    </row>
    <row r="50" spans="2:10" ht="13.5" customHeight="1" x14ac:dyDescent="0.2">
      <c r="B50" s="221" t="s">
        <v>174</v>
      </c>
      <c r="C50" t="s">
        <v>412</v>
      </c>
      <c r="D50" s="201" t="s">
        <v>174</v>
      </c>
      <c r="E50" s="200">
        <v>2</v>
      </c>
      <c r="F50" s="227" t="s">
        <v>177</v>
      </c>
      <c r="G50" s="201" t="s">
        <v>128</v>
      </c>
      <c r="H50" s="198" t="s">
        <v>48</v>
      </c>
      <c r="I50" s="212" t="s">
        <v>13</v>
      </c>
      <c r="J50" s="204"/>
    </row>
    <row r="51" spans="2:10" ht="13.5" customHeight="1" x14ac:dyDescent="0.2">
      <c r="B51" s="221" t="s">
        <v>175</v>
      </c>
      <c r="C51" t="s">
        <v>413</v>
      </c>
      <c r="D51" s="201" t="s">
        <v>175</v>
      </c>
      <c r="E51" s="200">
        <v>2</v>
      </c>
      <c r="F51" s="227" t="s">
        <v>177</v>
      </c>
      <c r="G51" s="201" t="s">
        <v>128</v>
      </c>
      <c r="H51" s="198" t="s">
        <v>48</v>
      </c>
      <c r="I51" s="212" t="s">
        <v>13</v>
      </c>
      <c r="J51" s="204"/>
    </row>
    <row r="52" spans="2:10" ht="13.5" customHeight="1" thickBot="1" x14ac:dyDescent="0.25">
      <c r="B52" s="222" t="s">
        <v>176</v>
      </c>
      <c r="C52" t="s">
        <v>414</v>
      </c>
      <c r="D52" s="218" t="s">
        <v>176</v>
      </c>
      <c r="E52" s="223">
        <v>2</v>
      </c>
      <c r="F52" s="227" t="s">
        <v>177</v>
      </c>
      <c r="G52" s="201" t="s">
        <v>128</v>
      </c>
      <c r="H52" s="224" t="s">
        <v>48</v>
      </c>
      <c r="I52" s="225" t="s">
        <v>13</v>
      </c>
      <c r="J52" s="204"/>
    </row>
  </sheetData>
  <phoneticPr fontId="0" type="noConversion"/>
  <printOptions horizontalCentered="1"/>
  <pageMargins left="0.39370078740157483" right="0.39370078740157483" top="0.39370078740157483" bottom="0.39370078740157483" header="0.39370078740157483" footer="0.39370078740157483"/>
  <pageSetup paperSize="9" scale="65" orientation="landscape" r:id="rId1"/>
  <headerFooter alignWithMargins="0">
    <oddFooter>&amp;R15</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EB6B9-DCDE-4B52-AA7B-4F4A2F585C97}">
  <sheetPr>
    <tabColor rgb="FF00B050"/>
  </sheetPr>
  <dimension ref="A1:BQ30"/>
  <sheetViews>
    <sheetView workbookViewId="0">
      <selection activeCell="I16" sqref="I16"/>
    </sheetView>
  </sheetViews>
  <sheetFormatPr defaultRowHeight="12.75" x14ac:dyDescent="0.2"/>
  <cols>
    <col min="1" max="1" width="84.85546875" bestFit="1" customWidth="1"/>
    <col min="2" max="2" width="33.42578125" bestFit="1" customWidth="1"/>
    <col min="3" max="3" width="13.140625" bestFit="1" customWidth="1"/>
    <col min="4" max="4" width="8.5703125" bestFit="1" customWidth="1"/>
    <col min="5" max="5" width="1.5703125" customWidth="1"/>
    <col min="6" max="22" width="4.85546875" customWidth="1"/>
    <col min="23" max="36" width="4.7109375" customWidth="1"/>
    <col min="37" max="37" width="4.85546875" customWidth="1"/>
    <col min="38" max="52" width="4.7109375" customWidth="1"/>
    <col min="53" max="53" width="5.28515625" customWidth="1"/>
    <col min="54" max="54" width="5.85546875" customWidth="1"/>
    <col min="55" max="55" width="5.5703125" customWidth="1"/>
    <col min="56" max="56" width="4.85546875" customWidth="1"/>
    <col min="57" max="57" width="5" customWidth="1"/>
    <col min="58" max="58" width="5.42578125" customWidth="1"/>
    <col min="59" max="59" width="4.7109375" customWidth="1"/>
    <col min="60" max="60" width="4.85546875" customWidth="1"/>
  </cols>
  <sheetData>
    <row r="1" spans="1:69" ht="23.25" x14ac:dyDescent="0.35">
      <c r="A1" s="285"/>
      <c r="B1" s="285"/>
      <c r="C1" s="286"/>
      <c r="D1" s="286"/>
      <c r="E1" s="286"/>
      <c r="F1" s="286"/>
      <c r="G1" s="286"/>
      <c r="I1" s="286"/>
      <c r="J1" s="285" t="s">
        <v>191</v>
      </c>
      <c r="K1" s="286"/>
      <c r="L1" s="286"/>
      <c r="M1" s="286"/>
      <c r="N1" s="286"/>
      <c r="O1" s="286"/>
      <c r="P1" s="286"/>
      <c r="Q1" s="286"/>
      <c r="R1" s="286"/>
      <c r="S1" s="286"/>
      <c r="T1" s="286"/>
      <c r="U1" s="286"/>
      <c r="V1" s="286"/>
      <c r="W1" s="286"/>
    </row>
    <row r="2" spans="1:69" x14ac:dyDescent="0.2">
      <c r="B2" s="286"/>
      <c r="C2" s="286"/>
      <c r="D2" s="286"/>
      <c r="E2" s="286"/>
      <c r="F2" s="286"/>
      <c r="G2" s="286"/>
      <c r="H2" s="286"/>
      <c r="I2" s="286"/>
      <c r="J2" s="286"/>
      <c r="O2" s="286"/>
      <c r="P2" s="286"/>
      <c r="Q2" s="286"/>
      <c r="R2" s="286"/>
      <c r="S2" s="286"/>
      <c r="T2" s="286"/>
      <c r="U2" s="286"/>
      <c r="V2" s="286"/>
      <c r="W2" s="286"/>
    </row>
    <row r="3" spans="1:69" ht="15.75" thickBot="1" x14ac:dyDescent="0.25">
      <c r="B3" s="287" t="s">
        <v>192</v>
      </c>
      <c r="C3" s="286"/>
      <c r="D3" s="286"/>
      <c r="E3" s="286"/>
      <c r="F3" s="286"/>
      <c r="G3" s="286"/>
      <c r="H3" s="286"/>
      <c r="I3" s="286"/>
      <c r="J3" s="286"/>
      <c r="K3" s="286"/>
      <c r="L3" s="286"/>
      <c r="M3" s="286"/>
      <c r="N3" s="286"/>
      <c r="O3" s="286"/>
      <c r="P3" s="286"/>
      <c r="Q3" s="286"/>
      <c r="R3" s="286"/>
      <c r="S3" s="286"/>
      <c r="T3" s="286"/>
      <c r="U3" s="286"/>
      <c r="V3" s="286"/>
      <c r="W3" s="286"/>
    </row>
    <row r="4" spans="1:69" ht="18.75" thickBot="1" x14ac:dyDescent="0.3">
      <c r="F4" s="342" t="s">
        <v>193</v>
      </c>
      <c r="G4" s="343"/>
      <c r="H4" s="343"/>
      <c r="I4" s="343"/>
      <c r="J4" s="343"/>
      <c r="K4" s="343"/>
      <c r="L4" s="343"/>
      <c r="M4" s="343"/>
      <c r="N4" s="343"/>
      <c r="O4" s="343"/>
      <c r="P4" s="343"/>
      <c r="Q4" s="343"/>
      <c r="R4" s="343"/>
      <c r="S4" s="343"/>
      <c r="T4" s="343"/>
      <c r="U4" s="343"/>
      <c r="V4" s="343"/>
      <c r="W4" s="343"/>
      <c r="X4" s="343"/>
      <c r="Y4" s="343"/>
      <c r="Z4" s="343"/>
      <c r="AA4" s="343"/>
      <c r="AB4" s="343"/>
      <c r="AC4" s="343"/>
      <c r="AD4" s="343"/>
      <c r="AE4" s="343"/>
      <c r="AF4" s="343"/>
      <c r="AG4" s="343"/>
      <c r="AH4" s="343"/>
      <c r="AI4" s="343"/>
      <c r="AJ4" s="343"/>
      <c r="AK4" s="344"/>
      <c r="AL4" s="342" t="s">
        <v>193</v>
      </c>
      <c r="AM4" s="343"/>
      <c r="AN4" s="343"/>
      <c r="AO4" s="343"/>
      <c r="AP4" s="343"/>
      <c r="AQ4" s="343"/>
      <c r="AR4" s="343"/>
      <c r="AS4" s="343"/>
      <c r="AT4" s="343"/>
      <c r="AU4" s="343"/>
      <c r="AV4" s="343"/>
      <c r="AW4" s="343"/>
      <c r="AX4" s="343"/>
      <c r="AY4" s="343"/>
      <c r="AZ4" s="343"/>
      <c r="BA4" s="343"/>
      <c r="BB4" s="343"/>
      <c r="BC4" s="343"/>
      <c r="BD4" s="343"/>
      <c r="BE4" s="343"/>
      <c r="BF4" s="343"/>
      <c r="BG4" s="343"/>
      <c r="BH4" s="343"/>
      <c r="BI4" s="343"/>
      <c r="BJ4" s="343"/>
      <c r="BK4" s="343"/>
      <c r="BL4" s="343"/>
      <c r="BM4" s="343"/>
      <c r="BN4" s="343"/>
      <c r="BO4" s="343"/>
      <c r="BP4" s="343"/>
      <c r="BQ4" s="344"/>
    </row>
    <row r="5" spans="1:69" ht="13.5" thickBot="1" x14ac:dyDescent="0.25">
      <c r="A5" s="288" t="s">
        <v>194</v>
      </c>
      <c r="B5" s="289" t="s">
        <v>195</v>
      </c>
      <c r="C5" s="289" t="s">
        <v>2</v>
      </c>
      <c r="D5" s="289" t="s">
        <v>196</v>
      </c>
      <c r="F5" s="290">
        <v>1</v>
      </c>
      <c r="G5" s="291">
        <v>2</v>
      </c>
      <c r="H5" s="291">
        <v>3</v>
      </c>
      <c r="I5" s="291">
        <v>4</v>
      </c>
      <c r="J5" s="291">
        <v>5</v>
      </c>
      <c r="K5" s="291">
        <v>6</v>
      </c>
      <c r="L5" s="291">
        <v>7</v>
      </c>
      <c r="M5" s="291">
        <v>8</v>
      </c>
      <c r="N5" s="291">
        <v>9</v>
      </c>
      <c r="O5" s="291">
        <v>10</v>
      </c>
      <c r="P5" s="291">
        <v>11</v>
      </c>
      <c r="Q5" s="291">
        <v>12</v>
      </c>
      <c r="R5" s="291">
        <v>13</v>
      </c>
      <c r="S5" s="291">
        <v>14</v>
      </c>
      <c r="T5" s="291">
        <v>15</v>
      </c>
      <c r="U5" s="292">
        <v>16</v>
      </c>
      <c r="V5" s="290">
        <v>17</v>
      </c>
      <c r="W5" s="291">
        <v>18</v>
      </c>
      <c r="X5" s="291">
        <v>19</v>
      </c>
      <c r="Y5" s="291">
        <v>20</v>
      </c>
      <c r="Z5" s="291">
        <v>21</v>
      </c>
      <c r="AA5" s="291">
        <v>22</v>
      </c>
      <c r="AB5" s="291">
        <v>23</v>
      </c>
      <c r="AC5" s="291">
        <v>24</v>
      </c>
      <c r="AD5" s="291">
        <v>25</v>
      </c>
      <c r="AE5" s="291">
        <v>26</v>
      </c>
      <c r="AF5" s="291">
        <v>27</v>
      </c>
      <c r="AG5" s="291">
        <v>28</v>
      </c>
      <c r="AH5" s="291">
        <v>29</v>
      </c>
      <c r="AI5" s="291">
        <v>30</v>
      </c>
      <c r="AJ5" s="291">
        <v>31</v>
      </c>
      <c r="AK5" s="292">
        <v>32</v>
      </c>
      <c r="AL5" s="290">
        <v>33</v>
      </c>
      <c r="AM5" s="291">
        <v>34</v>
      </c>
      <c r="AN5" s="291">
        <v>35</v>
      </c>
      <c r="AO5" s="291">
        <v>36</v>
      </c>
      <c r="AP5" s="291">
        <v>37</v>
      </c>
      <c r="AQ5" s="291">
        <v>38</v>
      </c>
      <c r="AR5" s="291">
        <v>39</v>
      </c>
      <c r="AS5" s="291">
        <v>40</v>
      </c>
      <c r="AT5" s="291">
        <v>41</v>
      </c>
      <c r="AU5" s="291">
        <v>42</v>
      </c>
      <c r="AV5" s="291">
        <v>43</v>
      </c>
      <c r="AW5" s="291">
        <v>44</v>
      </c>
      <c r="AX5" s="291">
        <v>45</v>
      </c>
      <c r="AY5" s="291">
        <v>46</v>
      </c>
      <c r="AZ5" s="291">
        <v>47</v>
      </c>
      <c r="BA5" s="292">
        <v>48</v>
      </c>
      <c r="BB5" s="290">
        <v>49</v>
      </c>
      <c r="BC5" s="291">
        <v>50</v>
      </c>
      <c r="BD5" s="291">
        <v>51</v>
      </c>
      <c r="BE5" s="291">
        <v>52</v>
      </c>
      <c r="BF5" s="291">
        <v>53</v>
      </c>
      <c r="BG5" s="291">
        <v>54</v>
      </c>
      <c r="BH5" s="291">
        <v>55</v>
      </c>
      <c r="BI5" s="291">
        <v>56</v>
      </c>
      <c r="BJ5" s="291">
        <v>57</v>
      </c>
      <c r="BK5" s="291">
        <v>58</v>
      </c>
      <c r="BL5" s="291">
        <v>59</v>
      </c>
      <c r="BM5" s="291">
        <v>60</v>
      </c>
      <c r="BN5" s="291">
        <v>61</v>
      </c>
      <c r="BO5" s="291">
        <v>62</v>
      </c>
      <c r="BP5" s="291">
        <v>63</v>
      </c>
      <c r="BQ5" s="292">
        <v>64</v>
      </c>
    </row>
    <row r="6" spans="1:69" ht="15.75" x14ac:dyDescent="0.25">
      <c r="A6" s="284" t="s">
        <v>197</v>
      </c>
      <c r="B6" s="293" t="s">
        <v>198</v>
      </c>
      <c r="C6" s="294" t="s">
        <v>13</v>
      </c>
      <c r="D6" s="294">
        <v>3</v>
      </c>
      <c r="F6" s="295"/>
      <c r="G6" s="296"/>
      <c r="H6" s="296"/>
      <c r="I6" s="296"/>
      <c r="J6" s="296"/>
      <c r="K6" s="296"/>
      <c r="L6" s="296"/>
      <c r="M6" s="296"/>
      <c r="N6" s="296"/>
      <c r="O6" s="297"/>
      <c r="P6" s="296"/>
      <c r="Q6" s="296"/>
      <c r="R6" s="296"/>
      <c r="S6" s="296"/>
      <c r="T6" s="296"/>
      <c r="U6" s="298"/>
      <c r="V6" s="295"/>
      <c r="W6" s="296"/>
      <c r="X6" s="296"/>
      <c r="Y6" s="296"/>
      <c r="Z6" s="296"/>
      <c r="AA6" s="296"/>
      <c r="AB6" s="296"/>
      <c r="AC6" s="296"/>
      <c r="AD6" s="296"/>
      <c r="AE6" s="297" t="s">
        <v>214</v>
      </c>
      <c r="AF6" s="296"/>
      <c r="AG6" s="296" t="s">
        <v>216</v>
      </c>
      <c r="AH6" s="296"/>
      <c r="AI6" s="296" t="s">
        <v>218</v>
      </c>
      <c r="AJ6" s="296"/>
      <c r="AK6" s="298"/>
      <c r="AL6" s="295"/>
      <c r="AM6" s="296"/>
      <c r="AN6" s="296"/>
      <c r="AO6" s="296"/>
      <c r="AP6" s="296"/>
      <c r="AQ6" s="296"/>
      <c r="AR6" s="296"/>
      <c r="AS6" s="296"/>
      <c r="AT6" s="296"/>
      <c r="AU6" s="297"/>
      <c r="AV6" s="296"/>
      <c r="AW6" s="296"/>
      <c r="AX6" s="296"/>
      <c r="AY6" s="296"/>
      <c r="AZ6" s="296"/>
      <c r="BA6" s="298"/>
      <c r="BB6" s="295"/>
      <c r="BC6" s="296"/>
      <c r="BD6" s="296"/>
      <c r="BE6" s="296"/>
      <c r="BF6" s="296"/>
      <c r="BG6" s="296" t="s">
        <v>236</v>
      </c>
      <c r="BH6" s="296"/>
      <c r="BI6" s="296"/>
      <c r="BJ6" s="296"/>
      <c r="BK6" s="297"/>
      <c r="BL6" s="296"/>
      <c r="BM6" s="296"/>
      <c r="BN6" s="296"/>
      <c r="BO6" s="296"/>
      <c r="BP6" s="296"/>
      <c r="BQ6" s="298"/>
    </row>
    <row r="7" spans="1:69" ht="15.75" x14ac:dyDescent="0.25">
      <c r="A7" s="284" t="s">
        <v>199</v>
      </c>
      <c r="B7" s="293" t="s">
        <v>200</v>
      </c>
      <c r="C7" s="294" t="s">
        <v>198</v>
      </c>
      <c r="D7" s="294">
        <v>1</v>
      </c>
      <c r="F7" s="299"/>
      <c r="G7" s="300"/>
      <c r="H7" s="300"/>
      <c r="I7" s="301" t="s">
        <v>200</v>
      </c>
      <c r="J7" s="302"/>
      <c r="K7" t="s">
        <v>201</v>
      </c>
      <c r="L7" s="303"/>
      <c r="M7" s="300"/>
      <c r="N7" s="300" t="s">
        <v>203</v>
      </c>
      <c r="O7" s="300"/>
      <c r="P7" s="300"/>
      <c r="Q7" s="300"/>
      <c r="R7" s="300"/>
      <c r="S7" s="300"/>
      <c r="T7" s="300" t="s">
        <v>206</v>
      </c>
      <c r="U7" s="304"/>
      <c r="V7" s="299"/>
      <c r="W7" s="300"/>
      <c r="X7" s="300"/>
      <c r="Y7" s="301"/>
      <c r="Z7" s="302"/>
      <c r="AB7" s="303"/>
      <c r="AC7" s="300"/>
      <c r="AD7" s="300"/>
      <c r="AE7" s="300"/>
      <c r="AF7" s="300"/>
      <c r="AG7" s="305"/>
      <c r="AH7" s="300"/>
      <c r="AI7" s="300"/>
      <c r="AJ7" s="300" t="s">
        <v>220</v>
      </c>
      <c r="AK7" s="304" t="s">
        <v>222</v>
      </c>
      <c r="AL7" s="299"/>
      <c r="AM7" s="300" t="s">
        <v>224</v>
      </c>
      <c r="AN7" s="300"/>
      <c r="AO7" s="301"/>
      <c r="AP7" s="300"/>
      <c r="AQ7" s="300"/>
      <c r="AR7" s="300"/>
      <c r="AS7" s="300"/>
      <c r="AT7" s="300"/>
      <c r="AU7" s="300"/>
      <c r="AV7" s="300"/>
      <c r="AW7" s="300" t="s">
        <v>230</v>
      </c>
      <c r="AX7" s="300"/>
      <c r="AY7" s="300"/>
      <c r="AZ7" s="300"/>
      <c r="BA7" s="304" t="s">
        <v>232</v>
      </c>
      <c r="BB7" s="299"/>
      <c r="BC7" s="300"/>
      <c r="BD7" s="300"/>
      <c r="BE7" s="301" t="s">
        <v>234</v>
      </c>
      <c r="BF7" s="302"/>
      <c r="BH7" s="303"/>
      <c r="BI7" s="300"/>
      <c r="BJ7" s="300"/>
      <c r="BK7" s="300"/>
      <c r="BL7" s="300"/>
      <c r="BM7" s="300"/>
      <c r="BN7" s="300"/>
      <c r="BO7" s="300"/>
      <c r="BP7" s="300"/>
      <c r="BQ7" s="304"/>
    </row>
    <row r="8" spans="1:69" ht="15.75" x14ac:dyDescent="0.25">
      <c r="A8" s="284" t="s">
        <v>124</v>
      </c>
      <c r="B8" s="293" t="s">
        <v>201</v>
      </c>
      <c r="C8" s="294" t="s">
        <v>200</v>
      </c>
      <c r="D8" s="294">
        <v>2</v>
      </c>
      <c r="F8" s="306" t="s">
        <v>198</v>
      </c>
      <c r="G8" s="300"/>
      <c r="H8" s="300"/>
      <c r="I8" s="300"/>
      <c r="J8" s="301"/>
      <c r="K8" s="300"/>
      <c r="L8" s="300"/>
      <c r="M8" s="300"/>
      <c r="N8" s="300"/>
      <c r="O8" s="300"/>
      <c r="P8" s="301"/>
      <c r="R8" s="300"/>
      <c r="S8" s="300"/>
      <c r="T8" s="301"/>
      <c r="U8" s="304"/>
      <c r="V8" s="306" t="s">
        <v>202</v>
      </c>
      <c r="W8" s="300"/>
      <c r="X8" s="300"/>
      <c r="Y8" s="328" t="s">
        <v>210</v>
      </c>
      <c r="Z8" s="301"/>
      <c r="AA8" s="300"/>
      <c r="AB8" s="300"/>
      <c r="AC8" s="328" t="s">
        <v>212</v>
      </c>
      <c r="AD8" s="300"/>
      <c r="AE8" s="300"/>
      <c r="AF8" s="301"/>
      <c r="AH8" s="307"/>
      <c r="AI8" s="300"/>
      <c r="AJ8" s="301"/>
      <c r="AK8" s="304"/>
      <c r="AL8" s="306"/>
      <c r="AM8" s="300"/>
      <c r="AN8" s="300"/>
      <c r="AO8" s="300"/>
      <c r="AP8" s="301"/>
      <c r="AQ8" s="300" t="s">
        <v>226</v>
      </c>
      <c r="AR8" s="300"/>
      <c r="AS8" s="300"/>
      <c r="AT8" s="300"/>
      <c r="AU8" s="300"/>
      <c r="AV8" s="301" t="s">
        <v>228</v>
      </c>
      <c r="AX8" s="300"/>
      <c r="AY8" s="300"/>
      <c r="AZ8" s="301"/>
      <c r="BA8" s="304"/>
      <c r="BB8" s="306"/>
      <c r="BC8" s="300"/>
      <c r="BD8" s="300"/>
      <c r="BE8" s="300"/>
      <c r="BF8" s="301"/>
      <c r="BG8" s="300"/>
      <c r="BH8" s="300"/>
      <c r="BI8" s="300"/>
      <c r="BJ8" s="300"/>
      <c r="BK8" s="300"/>
      <c r="BL8" s="301"/>
      <c r="BN8" s="300"/>
      <c r="BO8" s="300"/>
      <c r="BP8" s="301"/>
      <c r="BQ8" s="304"/>
    </row>
    <row r="9" spans="1:69" ht="15.75" x14ac:dyDescent="0.25">
      <c r="A9" s="284" t="s">
        <v>205</v>
      </c>
      <c r="B9" s="293" t="s">
        <v>203</v>
      </c>
      <c r="C9" s="294" t="s">
        <v>200</v>
      </c>
      <c r="D9" s="294">
        <v>3</v>
      </c>
      <c r="F9" s="299"/>
      <c r="G9" s="300"/>
      <c r="H9" s="300"/>
      <c r="I9" s="300"/>
      <c r="J9" s="301"/>
      <c r="K9" s="300"/>
      <c r="L9" s="300"/>
      <c r="M9" s="300"/>
      <c r="N9" s="300"/>
      <c r="O9" s="300"/>
      <c r="P9" s="301"/>
      <c r="Q9" s="300"/>
      <c r="R9" s="300"/>
      <c r="S9" s="300"/>
      <c r="T9" s="300"/>
      <c r="U9" s="308"/>
      <c r="V9" s="299"/>
      <c r="W9" s="328" t="s">
        <v>204</v>
      </c>
      <c r="X9" s="300"/>
      <c r="Y9" s="300"/>
      <c r="Z9" s="329"/>
      <c r="AA9" s="300"/>
      <c r="AB9" s="300"/>
      <c r="AC9" s="300"/>
      <c r="AD9" s="300"/>
      <c r="AE9" s="300"/>
      <c r="AF9" s="301"/>
      <c r="AG9" s="300"/>
      <c r="AH9" s="300"/>
      <c r="AI9" s="300"/>
      <c r="AJ9" s="300"/>
      <c r="AK9" s="308"/>
      <c r="AL9" s="299"/>
      <c r="AM9" s="300"/>
      <c r="AN9" s="300"/>
      <c r="AO9" s="300"/>
      <c r="AP9" s="301"/>
      <c r="AQ9" s="300"/>
      <c r="AR9" s="300"/>
      <c r="AS9" s="300"/>
      <c r="AT9" s="300"/>
      <c r="AU9" s="300"/>
      <c r="AV9" s="301"/>
      <c r="AW9" s="300"/>
      <c r="AX9" s="300"/>
      <c r="AY9" s="300"/>
      <c r="AZ9" s="300"/>
      <c r="BA9" s="308"/>
      <c r="BB9" s="299"/>
      <c r="BC9" s="300"/>
      <c r="BD9" s="300"/>
      <c r="BE9" s="300"/>
      <c r="BF9" s="301"/>
      <c r="BG9" s="300"/>
      <c r="BH9" s="300"/>
      <c r="BI9" s="300"/>
      <c r="BJ9" s="300"/>
      <c r="BK9" s="300"/>
      <c r="BL9" s="301"/>
      <c r="BM9" s="300"/>
      <c r="BN9" s="300"/>
      <c r="BO9" s="300"/>
      <c r="BP9" s="300"/>
      <c r="BQ9" s="308"/>
    </row>
    <row r="10" spans="1:69" ht="15.75" x14ac:dyDescent="0.25">
      <c r="A10" s="309" t="s">
        <v>72</v>
      </c>
      <c r="B10" s="310" t="s">
        <v>206</v>
      </c>
      <c r="C10" s="311" t="s">
        <v>200</v>
      </c>
      <c r="D10" s="311">
        <v>5</v>
      </c>
      <c r="F10" s="299"/>
      <c r="G10" s="300"/>
      <c r="H10" s="300"/>
      <c r="I10" s="300"/>
      <c r="J10" s="300"/>
      <c r="K10" s="300"/>
      <c r="L10" s="300"/>
      <c r="M10" s="300"/>
      <c r="N10" s="300"/>
      <c r="O10" s="300"/>
      <c r="P10" s="300"/>
      <c r="Q10" s="300"/>
      <c r="R10" s="300"/>
      <c r="S10" s="300"/>
      <c r="T10" s="300"/>
      <c r="U10" s="304"/>
      <c r="V10" s="299"/>
      <c r="W10" s="300"/>
      <c r="X10" s="300"/>
      <c r="Y10" s="300"/>
      <c r="Z10" s="300"/>
      <c r="AA10" s="300"/>
      <c r="AB10" s="300"/>
      <c r="AC10" s="300"/>
      <c r="AD10" s="300"/>
      <c r="AE10" s="300"/>
      <c r="AF10" s="300"/>
      <c r="AG10" s="300"/>
      <c r="AH10" s="300"/>
      <c r="AI10" s="300"/>
      <c r="AJ10" s="300"/>
      <c r="AK10" s="304"/>
      <c r="AL10" s="299"/>
      <c r="AM10" s="300"/>
      <c r="AN10" s="300"/>
      <c r="AO10" s="300"/>
      <c r="AP10" s="300"/>
      <c r="AQ10" s="300"/>
      <c r="AR10" s="300"/>
      <c r="AS10" s="300"/>
      <c r="AT10" s="300"/>
      <c r="AU10" s="300"/>
      <c r="AV10" s="300"/>
      <c r="AW10" s="300"/>
      <c r="AX10" s="300"/>
      <c r="AY10" s="300"/>
      <c r="AZ10" s="300"/>
      <c r="BA10" s="304"/>
      <c r="BB10" s="299"/>
      <c r="BC10" s="300"/>
      <c r="BD10" s="300"/>
      <c r="BE10" s="300"/>
      <c r="BF10" s="300"/>
      <c r="BG10" s="300"/>
      <c r="BH10" s="300"/>
      <c r="BI10" s="300"/>
      <c r="BJ10" s="300"/>
      <c r="BK10" s="300"/>
      <c r="BL10" s="300"/>
      <c r="BM10" s="300"/>
      <c r="BN10" s="300"/>
      <c r="BO10" s="300"/>
      <c r="BP10" s="300"/>
      <c r="BQ10" s="304"/>
    </row>
    <row r="11" spans="1:69" ht="15.75" x14ac:dyDescent="0.25">
      <c r="A11" s="284" t="s">
        <v>207</v>
      </c>
      <c r="B11" s="310" t="s">
        <v>202</v>
      </c>
      <c r="C11" s="311" t="s">
        <v>374</v>
      </c>
      <c r="D11" s="311">
        <v>3</v>
      </c>
      <c r="F11" s="299"/>
      <c r="G11" s="300"/>
      <c r="H11" s="300"/>
      <c r="I11" s="301"/>
      <c r="J11" s="300"/>
      <c r="K11" s="301"/>
      <c r="L11" s="300"/>
      <c r="M11" s="300"/>
      <c r="N11" s="300"/>
      <c r="O11" s="300"/>
      <c r="P11" s="300"/>
      <c r="Q11" s="301"/>
      <c r="R11" s="300"/>
      <c r="S11" s="300"/>
      <c r="T11" s="300"/>
      <c r="U11" s="304"/>
      <c r="V11" s="299"/>
      <c r="W11" s="300"/>
      <c r="X11" s="300"/>
      <c r="Y11" s="301"/>
      <c r="Z11" s="300"/>
      <c r="AA11" s="301"/>
      <c r="AB11" s="300"/>
      <c r="AC11" s="300"/>
      <c r="AD11" s="300"/>
      <c r="AE11" s="300"/>
      <c r="AF11" s="300"/>
      <c r="AG11" s="301"/>
      <c r="AH11" s="300"/>
      <c r="AI11" s="300"/>
      <c r="AJ11" s="300"/>
      <c r="AK11" s="304"/>
      <c r="AL11" s="299"/>
      <c r="AM11" s="300"/>
      <c r="AN11" s="300"/>
      <c r="AO11" s="301"/>
      <c r="AP11" s="300"/>
      <c r="AQ11" s="301"/>
      <c r="AR11" s="300"/>
      <c r="AS11" s="300"/>
      <c r="AT11" s="300"/>
      <c r="AU11" s="300"/>
      <c r="AV11" s="300"/>
      <c r="AW11" s="301"/>
      <c r="AX11" s="300"/>
      <c r="AY11" s="300"/>
      <c r="AZ11" s="300"/>
      <c r="BA11" s="304"/>
      <c r="BB11" s="299"/>
      <c r="BC11" s="300"/>
      <c r="BD11" s="300"/>
      <c r="BE11" s="301"/>
      <c r="BF11" s="300"/>
      <c r="BG11" s="301"/>
      <c r="BH11" s="300"/>
      <c r="BI11" s="300"/>
      <c r="BJ11" s="300"/>
      <c r="BK11" s="300"/>
      <c r="BL11" s="300"/>
      <c r="BM11" s="301"/>
      <c r="BN11" s="300"/>
      <c r="BO11" s="300"/>
      <c r="BP11" s="300"/>
      <c r="BQ11" s="304"/>
    </row>
    <row r="12" spans="1:69" ht="15.75" x14ac:dyDescent="0.25">
      <c r="A12" s="284" t="s">
        <v>208</v>
      </c>
      <c r="B12" s="310" t="s">
        <v>204</v>
      </c>
      <c r="C12" s="311" t="s">
        <v>209</v>
      </c>
      <c r="D12" s="311">
        <v>1</v>
      </c>
      <c r="F12" s="299"/>
      <c r="G12" s="300"/>
      <c r="H12" s="300"/>
      <c r="I12" s="300"/>
      <c r="J12" s="300"/>
      <c r="K12" s="300"/>
      <c r="L12" s="300"/>
      <c r="M12" s="300"/>
      <c r="N12" s="300"/>
      <c r="O12" s="300"/>
      <c r="P12" s="300"/>
      <c r="Q12" s="301"/>
      <c r="R12" s="300"/>
      <c r="S12" s="300"/>
      <c r="T12" s="300"/>
      <c r="U12" s="304"/>
      <c r="V12" s="299"/>
      <c r="W12" s="300"/>
      <c r="X12" s="300"/>
      <c r="Y12" s="300"/>
      <c r="Z12" s="300"/>
      <c r="AA12" s="300"/>
      <c r="AB12" s="300"/>
      <c r="AC12" s="300"/>
      <c r="AD12" s="300"/>
      <c r="AE12" s="300"/>
      <c r="AF12" s="300"/>
      <c r="AG12" s="301"/>
      <c r="AH12" s="300"/>
      <c r="AI12" s="300"/>
      <c r="AJ12" s="300"/>
      <c r="AK12" s="304"/>
      <c r="AL12" s="299"/>
      <c r="AM12" s="300"/>
      <c r="AN12" s="300"/>
      <c r="AO12" s="300"/>
      <c r="AP12" s="300"/>
      <c r="AQ12" s="300"/>
      <c r="AR12" s="300"/>
      <c r="AS12" s="300"/>
      <c r="AT12" s="300"/>
      <c r="AU12" s="300"/>
      <c r="AV12" s="300"/>
      <c r="AW12" s="301"/>
      <c r="AX12" s="300"/>
      <c r="AY12" s="300"/>
      <c r="AZ12" s="300"/>
      <c r="BA12" s="304"/>
      <c r="BB12" s="299"/>
      <c r="BC12" s="300"/>
      <c r="BD12" s="300"/>
      <c r="BE12" s="300"/>
      <c r="BF12" s="300"/>
      <c r="BG12" s="300"/>
      <c r="BH12" s="300"/>
      <c r="BI12" s="300"/>
      <c r="BJ12" s="300"/>
      <c r="BK12" s="300"/>
      <c r="BL12" s="300"/>
      <c r="BM12" s="301"/>
      <c r="BN12" s="300"/>
      <c r="BO12" s="300"/>
      <c r="BP12" s="300"/>
      <c r="BQ12" s="304"/>
    </row>
    <row r="13" spans="1:69" ht="16.5" thickBot="1" x14ac:dyDescent="0.3">
      <c r="A13" s="284" t="s">
        <v>190</v>
      </c>
      <c r="B13" s="293" t="s">
        <v>210</v>
      </c>
      <c r="C13" s="294" t="s">
        <v>204</v>
      </c>
      <c r="D13" s="294">
        <v>2</v>
      </c>
      <c r="F13" s="312"/>
      <c r="G13" s="313"/>
      <c r="H13" s="313"/>
      <c r="I13" s="313"/>
      <c r="J13" s="313"/>
      <c r="K13" s="313"/>
      <c r="L13" s="313"/>
      <c r="M13" s="313"/>
      <c r="N13" s="313"/>
      <c r="O13" s="313"/>
      <c r="P13" s="313"/>
      <c r="Q13" s="313"/>
      <c r="R13" s="313"/>
      <c r="S13" s="313"/>
      <c r="T13" s="313"/>
      <c r="U13" s="314"/>
      <c r="V13" s="312"/>
      <c r="W13" s="313"/>
      <c r="X13" s="313"/>
      <c r="Y13" s="313"/>
      <c r="Z13" s="313"/>
      <c r="AA13" s="313"/>
      <c r="AB13" s="313"/>
      <c r="AC13" s="313"/>
      <c r="AD13" s="313"/>
      <c r="AE13" s="313"/>
      <c r="AF13" s="313"/>
      <c r="AG13" s="313"/>
      <c r="AH13" s="313"/>
      <c r="AI13" s="313"/>
      <c r="AJ13" s="313"/>
      <c r="AK13" s="314"/>
      <c r="AL13" s="312"/>
      <c r="AM13" s="313"/>
      <c r="AN13" s="313"/>
      <c r="AO13" s="313"/>
      <c r="AP13" s="313"/>
      <c r="AQ13" s="313"/>
      <c r="AR13" s="313"/>
      <c r="AS13" s="313"/>
      <c r="AT13" s="313"/>
      <c r="AU13" s="313"/>
      <c r="AV13" s="313"/>
      <c r="AW13" s="313"/>
      <c r="AX13" s="313"/>
      <c r="AY13" s="313"/>
      <c r="AZ13" s="313"/>
      <c r="BA13" s="314"/>
      <c r="BB13" s="312"/>
      <c r="BC13" s="313"/>
      <c r="BD13" s="313"/>
      <c r="BE13" s="313"/>
      <c r="BF13" s="313"/>
      <c r="BG13" s="313"/>
      <c r="BH13" s="313"/>
      <c r="BI13" s="313"/>
      <c r="BJ13" s="313"/>
      <c r="BK13" s="313"/>
      <c r="BL13" s="313"/>
      <c r="BM13" s="313"/>
      <c r="BN13" s="313"/>
      <c r="BO13" s="313"/>
      <c r="BP13" s="313"/>
      <c r="BQ13" s="314"/>
    </row>
    <row r="14" spans="1:69" ht="15.75" x14ac:dyDescent="0.25">
      <c r="A14" s="284" t="s">
        <v>211</v>
      </c>
      <c r="B14" s="293" t="s">
        <v>212</v>
      </c>
      <c r="C14" s="293" t="s">
        <v>369</v>
      </c>
      <c r="D14" s="294">
        <v>4</v>
      </c>
      <c r="F14" s="325"/>
      <c r="G14" s="325"/>
      <c r="H14" s="325"/>
      <c r="I14" s="325"/>
      <c r="J14" s="325"/>
      <c r="K14" s="325"/>
      <c r="L14" s="325"/>
      <c r="M14" s="325"/>
      <c r="N14" s="325"/>
      <c r="O14" s="325"/>
      <c r="P14" s="325"/>
      <c r="Q14" s="325"/>
      <c r="R14" s="325"/>
      <c r="S14" s="325"/>
      <c r="T14" s="325"/>
      <c r="U14" s="325"/>
      <c r="V14" s="315"/>
      <c r="W14" s="315"/>
      <c r="X14" s="325"/>
    </row>
    <row r="15" spans="1:69" ht="15.75" x14ac:dyDescent="0.25">
      <c r="A15" s="284" t="s">
        <v>213</v>
      </c>
      <c r="B15" s="310" t="s">
        <v>214</v>
      </c>
      <c r="C15" s="310" t="s">
        <v>212</v>
      </c>
      <c r="D15" s="311">
        <v>2</v>
      </c>
      <c r="F15" s="326"/>
      <c r="G15" s="326"/>
      <c r="H15" s="326"/>
      <c r="I15" s="326"/>
      <c r="J15" s="326"/>
      <c r="K15" s="326"/>
      <c r="L15" s="326"/>
      <c r="M15" s="326"/>
      <c r="N15" s="326"/>
      <c r="O15" s="326"/>
      <c r="P15" s="326"/>
      <c r="Q15" s="326"/>
      <c r="R15" s="326"/>
      <c r="S15" s="326"/>
      <c r="T15" s="327"/>
      <c r="U15" s="327"/>
      <c r="V15" s="327"/>
      <c r="W15" s="327"/>
      <c r="X15" s="326"/>
    </row>
    <row r="16" spans="1:69" ht="15.75" x14ac:dyDescent="0.25">
      <c r="A16" s="284" t="s">
        <v>215</v>
      </c>
      <c r="B16" s="310" t="s">
        <v>216</v>
      </c>
      <c r="C16" s="310" t="s">
        <v>214</v>
      </c>
      <c r="D16" s="311">
        <v>2</v>
      </c>
      <c r="F16" s="326"/>
      <c r="G16" s="326"/>
      <c r="H16" s="326"/>
      <c r="I16" s="326"/>
      <c r="J16" s="326"/>
      <c r="K16" s="326"/>
      <c r="L16" s="326"/>
      <c r="M16" s="326"/>
      <c r="N16" s="326"/>
      <c r="O16" s="326"/>
      <c r="P16" s="326"/>
      <c r="Q16" s="326"/>
      <c r="R16" s="326"/>
      <c r="S16" s="326"/>
      <c r="T16" s="327"/>
      <c r="U16" s="327"/>
      <c r="V16" s="327"/>
      <c r="W16" s="327"/>
      <c r="X16" s="326"/>
    </row>
    <row r="17" spans="1:24" ht="15.75" x14ac:dyDescent="0.25">
      <c r="A17" s="284" t="s">
        <v>217</v>
      </c>
      <c r="B17" s="310" t="s">
        <v>218</v>
      </c>
      <c r="C17" s="310" t="s">
        <v>370</v>
      </c>
      <c r="D17" s="311">
        <v>2</v>
      </c>
      <c r="F17" s="326"/>
      <c r="G17" s="326"/>
      <c r="H17" s="326"/>
      <c r="I17" s="326"/>
      <c r="J17" s="326"/>
      <c r="K17" s="326"/>
      <c r="L17" s="326"/>
      <c r="M17" s="326"/>
      <c r="N17" s="326"/>
      <c r="O17" s="326"/>
      <c r="P17" s="326"/>
      <c r="Q17" s="326"/>
      <c r="R17" s="326"/>
      <c r="S17" s="326"/>
      <c r="T17" s="327"/>
      <c r="U17" s="327"/>
      <c r="V17" s="327"/>
      <c r="W17" s="327"/>
      <c r="X17" s="326"/>
    </row>
    <row r="18" spans="1:24" ht="15.75" x14ac:dyDescent="0.25">
      <c r="A18" s="284" t="s">
        <v>219</v>
      </c>
      <c r="B18" s="310" t="s">
        <v>220</v>
      </c>
      <c r="C18" s="310" t="s">
        <v>218</v>
      </c>
      <c r="D18" s="311">
        <v>1</v>
      </c>
      <c r="F18" s="326"/>
      <c r="G18" s="326"/>
      <c r="H18" s="326"/>
      <c r="I18" s="326"/>
      <c r="J18" s="326"/>
      <c r="K18" s="326"/>
      <c r="L18" s="326"/>
      <c r="M18" s="326"/>
      <c r="N18" s="326"/>
      <c r="O18" s="326"/>
      <c r="P18" s="326"/>
      <c r="Q18" s="326"/>
      <c r="R18" s="326"/>
      <c r="S18" s="326"/>
      <c r="T18" s="327"/>
      <c r="U18" s="327"/>
      <c r="V18" s="327"/>
      <c r="W18" s="327"/>
      <c r="X18" s="326"/>
    </row>
    <row r="19" spans="1:24" ht="15.75" x14ac:dyDescent="0.25">
      <c r="A19" s="284" t="s">
        <v>221</v>
      </c>
      <c r="B19" s="310" t="s">
        <v>222</v>
      </c>
      <c r="C19" s="310" t="s">
        <v>220</v>
      </c>
      <c r="D19" s="311">
        <v>1</v>
      </c>
      <c r="E19" s="286"/>
      <c r="F19" s="327"/>
      <c r="G19" s="327"/>
      <c r="H19" s="327"/>
      <c r="I19" s="327"/>
      <c r="J19" s="327"/>
      <c r="K19" s="327"/>
      <c r="L19" s="327"/>
      <c r="M19" s="327"/>
      <c r="N19" s="327"/>
      <c r="O19" s="327"/>
      <c r="P19" s="327"/>
      <c r="Q19" s="327"/>
      <c r="R19" s="327"/>
      <c r="S19" s="327"/>
      <c r="T19" s="327"/>
      <c r="U19" s="327"/>
      <c r="V19" s="327"/>
      <c r="W19" s="327"/>
      <c r="X19" s="326"/>
    </row>
    <row r="20" spans="1:24" ht="15.75" x14ac:dyDescent="0.25">
      <c r="A20" s="284" t="s">
        <v>223</v>
      </c>
      <c r="B20" s="310" t="s">
        <v>224</v>
      </c>
      <c r="C20" s="310" t="s">
        <v>371</v>
      </c>
      <c r="D20" s="311">
        <v>2</v>
      </c>
      <c r="E20" s="286"/>
      <c r="F20" s="327"/>
      <c r="G20" s="327"/>
      <c r="H20" s="327"/>
      <c r="I20" s="327"/>
      <c r="J20" s="327"/>
      <c r="K20" s="327"/>
      <c r="L20" s="327"/>
      <c r="M20" s="327"/>
      <c r="N20" s="327"/>
      <c r="O20" s="327"/>
      <c r="P20" s="327"/>
      <c r="Q20" s="327"/>
      <c r="R20" s="327"/>
      <c r="S20" s="327"/>
      <c r="T20" s="327"/>
      <c r="U20" s="327"/>
      <c r="V20" s="327"/>
      <c r="W20" s="327"/>
      <c r="X20" s="326"/>
    </row>
    <row r="21" spans="1:24" ht="15.75" x14ac:dyDescent="0.25">
      <c r="A21" s="284" t="s">
        <v>225</v>
      </c>
      <c r="B21" s="310" t="s">
        <v>226</v>
      </c>
      <c r="C21" s="310" t="s">
        <v>224</v>
      </c>
      <c r="D21" s="311">
        <v>4</v>
      </c>
      <c r="E21" s="286"/>
      <c r="F21" s="327"/>
      <c r="G21" s="327"/>
      <c r="H21" s="327"/>
      <c r="I21" s="327"/>
      <c r="J21" s="327"/>
      <c r="K21" s="327"/>
      <c r="L21" s="327"/>
      <c r="M21" s="327"/>
      <c r="N21" s="327"/>
      <c r="O21" s="327"/>
      <c r="P21" s="327"/>
      <c r="Q21" s="327"/>
      <c r="R21" s="327"/>
      <c r="S21" s="327"/>
      <c r="T21" s="327"/>
      <c r="U21" s="327"/>
      <c r="V21" s="327"/>
      <c r="W21" s="327"/>
      <c r="X21" s="326"/>
    </row>
    <row r="22" spans="1:24" ht="15.75" x14ac:dyDescent="0.25">
      <c r="A22" s="284" t="s">
        <v>227</v>
      </c>
      <c r="B22" s="310" t="s">
        <v>228</v>
      </c>
      <c r="C22" s="310" t="s">
        <v>372</v>
      </c>
      <c r="D22" s="311">
        <v>5</v>
      </c>
      <c r="E22" s="286"/>
      <c r="F22" s="327"/>
      <c r="G22" s="327"/>
      <c r="H22" s="327"/>
      <c r="I22" s="327"/>
      <c r="J22" s="327"/>
      <c r="K22" s="327"/>
      <c r="L22" s="327"/>
      <c r="M22" s="327"/>
      <c r="N22" s="327"/>
      <c r="O22" s="327"/>
      <c r="P22" s="327"/>
      <c r="Q22" s="327"/>
      <c r="R22" s="327"/>
      <c r="S22" s="327"/>
      <c r="T22" s="327"/>
      <c r="U22" s="327"/>
      <c r="V22" s="327"/>
      <c r="W22" s="327"/>
      <c r="X22" s="326"/>
    </row>
    <row r="23" spans="1:24" ht="15.75" x14ac:dyDescent="0.25">
      <c r="A23" s="284" t="s">
        <v>229</v>
      </c>
      <c r="B23" s="310" t="s">
        <v>230</v>
      </c>
      <c r="C23" s="310" t="s">
        <v>373</v>
      </c>
      <c r="D23" s="311">
        <v>1</v>
      </c>
      <c r="E23" s="286"/>
      <c r="F23" s="327"/>
      <c r="G23" s="327"/>
      <c r="H23" s="327"/>
      <c r="I23" s="327"/>
      <c r="J23" s="327"/>
      <c r="K23" s="327"/>
      <c r="L23" s="327"/>
      <c r="M23" s="327"/>
      <c r="N23" s="327"/>
      <c r="O23" s="327"/>
      <c r="P23" s="327"/>
      <c r="Q23" s="327"/>
      <c r="R23" s="327"/>
      <c r="S23" s="327"/>
      <c r="T23" s="327"/>
      <c r="U23" s="327"/>
      <c r="V23" s="327"/>
      <c r="W23" s="327"/>
      <c r="X23" s="326"/>
    </row>
    <row r="24" spans="1:24" ht="15.75" x14ac:dyDescent="0.25">
      <c r="A24" s="284" t="s">
        <v>231</v>
      </c>
      <c r="B24" s="310" t="s">
        <v>232</v>
      </c>
      <c r="C24" s="310" t="s">
        <v>230</v>
      </c>
      <c r="D24" s="311">
        <v>4</v>
      </c>
      <c r="E24" s="286"/>
      <c r="F24" s="327"/>
      <c r="G24" s="327"/>
      <c r="H24" s="327"/>
      <c r="I24" s="327"/>
      <c r="J24" s="327"/>
      <c r="K24" s="327"/>
      <c r="L24" s="327"/>
      <c r="M24" s="327"/>
      <c r="N24" s="327"/>
      <c r="O24" s="327"/>
      <c r="P24" s="327"/>
      <c r="Q24" s="327"/>
      <c r="R24" s="327"/>
      <c r="S24" s="327"/>
      <c r="T24" s="327"/>
      <c r="U24" s="327"/>
      <c r="V24" s="327"/>
      <c r="W24" s="327"/>
      <c r="X24" s="326"/>
    </row>
    <row r="25" spans="1:24" ht="15.75" x14ac:dyDescent="0.25">
      <c r="A25" s="284" t="s">
        <v>233</v>
      </c>
      <c r="B25" s="310" t="s">
        <v>234</v>
      </c>
      <c r="C25" s="310" t="s">
        <v>232</v>
      </c>
      <c r="D25" s="311">
        <v>4</v>
      </c>
      <c r="E25" s="286"/>
      <c r="F25" s="327"/>
      <c r="G25" s="327"/>
      <c r="H25" s="327"/>
      <c r="I25" s="327"/>
      <c r="J25" s="327"/>
      <c r="K25" s="327"/>
      <c r="L25" s="327"/>
      <c r="M25" s="327"/>
      <c r="N25" s="327"/>
      <c r="O25" s="327"/>
      <c r="P25" s="327"/>
      <c r="Q25" s="327"/>
      <c r="R25" s="327"/>
      <c r="S25" s="327"/>
      <c r="T25" s="327"/>
      <c r="U25" s="327"/>
      <c r="V25" s="327"/>
      <c r="W25" s="327"/>
      <c r="X25" s="326"/>
    </row>
    <row r="26" spans="1:24" x14ac:dyDescent="0.2">
      <c r="A26" s="289" t="s">
        <v>235</v>
      </c>
      <c r="B26" s="310" t="s">
        <v>236</v>
      </c>
      <c r="C26" s="310" t="s">
        <v>234</v>
      </c>
      <c r="D26" s="311">
        <v>2</v>
      </c>
      <c r="E26" s="286"/>
      <c r="F26" s="327"/>
      <c r="G26" s="327"/>
      <c r="H26" s="327"/>
      <c r="I26" s="327"/>
      <c r="J26" s="327"/>
      <c r="K26" s="327"/>
      <c r="L26" s="327"/>
      <c r="M26" s="327"/>
      <c r="N26" s="327"/>
      <c r="O26" s="327"/>
      <c r="P26" s="327"/>
      <c r="Q26" s="327"/>
      <c r="R26" s="327"/>
      <c r="S26" s="327"/>
      <c r="T26" s="327"/>
      <c r="U26" s="327"/>
      <c r="V26" s="327"/>
      <c r="W26" s="327"/>
      <c r="X26" s="326"/>
    </row>
    <row r="27" spans="1:24" x14ac:dyDescent="0.2">
      <c r="B27" s="286"/>
      <c r="C27" s="286"/>
      <c r="D27" s="286"/>
      <c r="E27" s="286"/>
      <c r="F27" s="327"/>
      <c r="G27" s="327"/>
      <c r="H27" s="327"/>
      <c r="I27" s="327"/>
      <c r="J27" s="327"/>
      <c r="K27" s="327"/>
      <c r="L27" s="327"/>
      <c r="M27" s="327"/>
      <c r="N27" s="327"/>
      <c r="O27" s="327"/>
      <c r="P27" s="327"/>
      <c r="Q27" s="327"/>
      <c r="R27" s="327"/>
      <c r="S27" s="327"/>
      <c r="T27" s="327"/>
      <c r="U27" s="327"/>
      <c r="V27" s="327"/>
      <c r="W27" s="327"/>
      <c r="X27" s="326"/>
    </row>
    <row r="28" spans="1:24" x14ac:dyDescent="0.2">
      <c r="B28" s="286"/>
    </row>
    <row r="29" spans="1:24" x14ac:dyDescent="0.2">
      <c r="B29" s="286"/>
    </row>
    <row r="30" spans="1:24" x14ac:dyDescent="0.2">
      <c r="B30" s="286"/>
    </row>
  </sheetData>
  <mergeCells count="2">
    <mergeCell ref="F4:AK4"/>
    <mergeCell ref="AL4:BQ4"/>
  </mergeCells>
  <pageMargins left="0.511811024" right="0.511811024" top="0.78740157499999996" bottom="0.78740157499999996" header="0.31496062000000002" footer="0.31496062000000002"/>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8579D-CB04-4543-B447-893061B66BCD}">
  <sheetPr>
    <tabColor theme="4" tint="0.39997558519241921"/>
  </sheetPr>
  <dimension ref="A1:M33"/>
  <sheetViews>
    <sheetView topLeftCell="A11" workbookViewId="0">
      <selection activeCell="F5" sqref="F5"/>
    </sheetView>
  </sheetViews>
  <sheetFormatPr defaultColWidth="9.140625" defaultRowHeight="12.75" x14ac:dyDescent="0.2"/>
  <cols>
    <col min="1" max="1" width="22.28515625" style="39" bestFit="1" customWidth="1"/>
    <col min="2" max="2" width="31" style="39" customWidth="1"/>
    <col min="3" max="3" width="32.5703125" style="39" bestFit="1" customWidth="1"/>
    <col min="4" max="4" width="26.42578125" style="39" customWidth="1"/>
    <col min="5" max="6" width="31" style="39" customWidth="1"/>
    <col min="7" max="7" width="26.28515625" style="39" bestFit="1" customWidth="1"/>
    <col min="8" max="8" width="29.28515625" style="39" bestFit="1" customWidth="1"/>
    <col min="9" max="9" width="34.85546875" style="39" customWidth="1"/>
    <col min="10" max="10" width="31.7109375" style="39" customWidth="1"/>
    <col min="11" max="11" width="27" style="39" customWidth="1"/>
    <col min="12" max="12" width="34.7109375" style="39" customWidth="1"/>
    <col min="13" max="13" width="29" style="39" customWidth="1"/>
    <col min="14" max="16384" width="9.140625" style="39"/>
  </cols>
  <sheetData>
    <row r="1" spans="1:13" x14ac:dyDescent="0.2">
      <c r="A1" s="345" t="s">
        <v>237</v>
      </c>
      <c r="B1" s="345"/>
      <c r="C1" s="345"/>
      <c r="D1" s="345"/>
      <c r="E1" s="316"/>
      <c r="F1" s="316"/>
      <c r="G1" s="316"/>
      <c r="H1" s="316"/>
    </row>
    <row r="2" spans="1:13" x14ac:dyDescent="0.2">
      <c r="A2" s="317" t="s">
        <v>238</v>
      </c>
      <c r="B2" s="316" t="s">
        <v>239</v>
      </c>
      <c r="C2" s="317" t="s">
        <v>240</v>
      </c>
      <c r="D2" s="316" t="s">
        <v>241</v>
      </c>
      <c r="E2" s="316"/>
      <c r="F2" s="316"/>
      <c r="G2" s="316"/>
      <c r="H2" s="316"/>
    </row>
    <row r="3" spans="1:13" x14ac:dyDescent="0.2">
      <c r="A3" s="317" t="s">
        <v>242</v>
      </c>
      <c r="B3" s="316" t="s">
        <v>243</v>
      </c>
      <c r="C3" s="317" t="s">
        <v>244</v>
      </c>
      <c r="D3" s="316" t="s">
        <v>245</v>
      </c>
      <c r="E3" s="316"/>
      <c r="F3" s="316"/>
      <c r="G3" s="316"/>
      <c r="H3" s="316"/>
    </row>
    <row r="4" spans="1:13" x14ac:dyDescent="0.2">
      <c r="A4" s="317"/>
      <c r="B4" s="316"/>
      <c r="C4" s="317"/>
      <c r="D4" s="316"/>
      <c r="E4" s="316"/>
      <c r="F4" s="316"/>
      <c r="G4" s="316"/>
      <c r="H4" s="316"/>
    </row>
    <row r="5" spans="1:13" x14ac:dyDescent="0.2">
      <c r="A5" s="317"/>
      <c r="B5" s="316"/>
      <c r="C5" s="317"/>
      <c r="D5" s="317"/>
      <c r="E5" s="316"/>
      <c r="F5" s="316"/>
      <c r="G5" s="316"/>
      <c r="H5" s="316"/>
    </row>
    <row r="6" spans="1:13" x14ac:dyDescent="0.2">
      <c r="A6" s="317"/>
      <c r="B6" s="316"/>
      <c r="C6" s="317"/>
      <c r="D6" s="316"/>
      <c r="E6"/>
      <c r="F6" s="316"/>
      <c r="G6" s="316"/>
      <c r="H6" s="316"/>
    </row>
    <row r="7" spans="1:13" x14ac:dyDescent="0.2">
      <c r="A7" s="317" t="s">
        <v>246</v>
      </c>
      <c r="B7" s="316"/>
      <c r="C7" s="317"/>
      <c r="D7" s="316"/>
      <c r="E7" s="316"/>
      <c r="F7" s="316"/>
      <c r="G7" s="316"/>
      <c r="H7" s="316"/>
    </row>
    <row r="8" spans="1:13" ht="42" x14ac:dyDescent="0.2">
      <c r="A8" s="318" t="s">
        <v>247</v>
      </c>
      <c r="B8" s="319" t="s">
        <v>248</v>
      </c>
      <c r="C8" s="318" t="s">
        <v>249</v>
      </c>
      <c r="D8" s="320">
        <v>45170</v>
      </c>
      <c r="E8" s="316"/>
      <c r="F8" s="316"/>
      <c r="G8" s="316"/>
      <c r="H8" s="316"/>
    </row>
    <row r="9" spans="1:13" ht="13.5" thickBot="1" x14ac:dyDescent="0.25">
      <c r="A9" s="316"/>
      <c r="B9" s="316"/>
      <c r="C9" s="316"/>
      <c r="D9" s="316"/>
      <c r="E9" s="316"/>
      <c r="F9" s="316"/>
      <c r="G9" s="316"/>
      <c r="H9" s="316"/>
    </row>
    <row r="10" spans="1:13" ht="13.5" thickBot="1" x14ac:dyDescent="0.25">
      <c r="A10" s="346" t="s">
        <v>250</v>
      </c>
      <c r="B10" s="347"/>
      <c r="C10" s="347"/>
      <c r="D10" s="347"/>
      <c r="E10" s="347"/>
      <c r="F10" s="347"/>
      <c r="G10" s="347"/>
      <c r="H10" s="348"/>
      <c r="I10" s="349" t="s">
        <v>251</v>
      </c>
      <c r="J10" s="350"/>
      <c r="K10" s="350"/>
      <c r="L10" s="350"/>
      <c r="M10" s="351"/>
    </row>
    <row r="11" spans="1:13" ht="42" x14ac:dyDescent="0.2">
      <c r="A11" s="321" t="s">
        <v>252</v>
      </c>
      <c r="B11" s="321" t="s">
        <v>253</v>
      </c>
      <c r="C11" s="321" t="s">
        <v>254</v>
      </c>
      <c r="D11" s="322" t="s">
        <v>255</v>
      </c>
      <c r="E11" s="322" t="s">
        <v>256</v>
      </c>
      <c r="F11" s="322" t="s">
        <v>257</v>
      </c>
      <c r="G11" s="322" t="s">
        <v>258</v>
      </c>
      <c r="H11" s="322" t="s">
        <v>259</v>
      </c>
      <c r="I11" s="322" t="s">
        <v>260</v>
      </c>
      <c r="J11" s="322" t="s">
        <v>261</v>
      </c>
      <c r="K11" s="322" t="s">
        <v>262</v>
      </c>
      <c r="L11" s="322" t="s">
        <v>263</v>
      </c>
      <c r="M11" s="322" t="s">
        <v>264</v>
      </c>
    </row>
    <row r="12" spans="1:13" ht="63" x14ac:dyDescent="0.2">
      <c r="A12" s="323" t="s">
        <v>265</v>
      </c>
      <c r="B12" s="324" t="s">
        <v>266</v>
      </c>
      <c r="C12" s="324" t="s">
        <v>267</v>
      </c>
      <c r="D12" s="324" t="s">
        <v>268</v>
      </c>
      <c r="E12" s="324" t="s">
        <v>269</v>
      </c>
      <c r="F12" s="324" t="s">
        <v>270</v>
      </c>
      <c r="G12" s="324" t="s">
        <v>271</v>
      </c>
      <c r="H12" s="324" t="s">
        <v>272</v>
      </c>
      <c r="I12" s="324" t="s">
        <v>273</v>
      </c>
      <c r="J12" s="324" t="s">
        <v>274</v>
      </c>
      <c r="K12" s="324" t="s">
        <v>275</v>
      </c>
      <c r="L12" s="324" t="s">
        <v>276</v>
      </c>
      <c r="M12" s="324" t="s">
        <v>277</v>
      </c>
    </row>
    <row r="13" spans="1:13" ht="38.25" x14ac:dyDescent="0.2">
      <c r="A13" s="323" t="s">
        <v>278</v>
      </c>
      <c r="B13" s="324" t="s">
        <v>279</v>
      </c>
      <c r="C13" s="324" t="s">
        <v>280</v>
      </c>
      <c r="D13" s="324" t="s">
        <v>281</v>
      </c>
      <c r="E13" s="324" t="s">
        <v>282</v>
      </c>
      <c r="F13" s="324" t="s">
        <v>283</v>
      </c>
      <c r="G13" s="324" t="s">
        <v>284</v>
      </c>
      <c r="H13" s="324" t="s">
        <v>285</v>
      </c>
      <c r="I13" s="324" t="s">
        <v>286</v>
      </c>
      <c r="J13" s="324" t="s">
        <v>287</v>
      </c>
      <c r="K13" s="324" t="s">
        <v>288</v>
      </c>
      <c r="L13" s="324" t="s">
        <v>289</v>
      </c>
      <c r="M13" s="324" t="s">
        <v>290</v>
      </c>
    </row>
    <row r="14" spans="1:13" ht="42" x14ac:dyDescent="0.2">
      <c r="A14" s="323" t="s">
        <v>291</v>
      </c>
      <c r="B14" s="324" t="s">
        <v>292</v>
      </c>
      <c r="C14" s="324" t="s">
        <v>293</v>
      </c>
      <c r="D14" s="324" t="s">
        <v>294</v>
      </c>
      <c r="E14" s="324" t="s">
        <v>295</v>
      </c>
      <c r="F14" s="324" t="s">
        <v>296</v>
      </c>
      <c r="G14" s="324" t="s">
        <v>297</v>
      </c>
      <c r="H14" s="324" t="s">
        <v>298</v>
      </c>
      <c r="I14" s="324" t="s">
        <v>299</v>
      </c>
      <c r="J14" s="324" t="s">
        <v>300</v>
      </c>
      <c r="K14" s="324" t="s">
        <v>301</v>
      </c>
      <c r="L14" s="324" t="s">
        <v>302</v>
      </c>
      <c r="M14" s="324" t="s">
        <v>303</v>
      </c>
    </row>
    <row r="15" spans="1:13" ht="42" x14ac:dyDescent="0.2">
      <c r="A15" s="323" t="s">
        <v>304</v>
      </c>
      <c r="B15" s="324" t="s">
        <v>305</v>
      </c>
      <c r="C15" s="324" t="s">
        <v>306</v>
      </c>
      <c r="D15" s="324" t="s">
        <v>307</v>
      </c>
      <c r="E15" s="324" t="s">
        <v>308</v>
      </c>
      <c r="F15" s="324" t="s">
        <v>309</v>
      </c>
      <c r="G15" s="324" t="s">
        <v>310</v>
      </c>
      <c r="H15" s="324" t="s">
        <v>311</v>
      </c>
      <c r="I15" s="324" t="s">
        <v>312</v>
      </c>
      <c r="J15" s="324" t="s">
        <v>313</v>
      </c>
      <c r="K15" s="324" t="s">
        <v>314</v>
      </c>
      <c r="L15" s="324" t="s">
        <v>315</v>
      </c>
      <c r="M15" s="324" t="s">
        <v>316</v>
      </c>
    </row>
    <row r="16" spans="1:13" ht="42" x14ac:dyDescent="0.2">
      <c r="A16" s="323" t="s">
        <v>317</v>
      </c>
      <c r="B16" s="324" t="s">
        <v>318</v>
      </c>
      <c r="C16" s="324" t="s">
        <v>319</v>
      </c>
      <c r="D16" s="324" t="s">
        <v>320</v>
      </c>
      <c r="E16" s="324" t="s">
        <v>321</v>
      </c>
      <c r="F16" s="324" t="s">
        <v>322</v>
      </c>
      <c r="G16" s="324" t="s">
        <v>323</v>
      </c>
      <c r="H16" s="324" t="s">
        <v>324</v>
      </c>
      <c r="I16" s="324" t="s">
        <v>325</v>
      </c>
      <c r="J16" s="324" t="s">
        <v>326</v>
      </c>
      <c r="K16" s="324" t="s">
        <v>327</v>
      </c>
      <c r="L16" s="324" t="s">
        <v>328</v>
      </c>
      <c r="M16" s="324" t="s">
        <v>329</v>
      </c>
    </row>
    <row r="17" spans="1:13" ht="42" x14ac:dyDescent="0.2">
      <c r="A17" s="323" t="s">
        <v>330</v>
      </c>
      <c r="B17" s="324" t="s">
        <v>331</v>
      </c>
      <c r="C17" s="324" t="s">
        <v>332</v>
      </c>
      <c r="D17" s="324" t="s">
        <v>333</v>
      </c>
      <c r="E17" s="324" t="s">
        <v>334</v>
      </c>
      <c r="F17" s="324" t="s">
        <v>335</v>
      </c>
      <c r="G17" s="324" t="s">
        <v>336</v>
      </c>
      <c r="H17" s="324" t="s">
        <v>337</v>
      </c>
      <c r="I17" s="324" t="s">
        <v>338</v>
      </c>
      <c r="J17" s="324" t="s">
        <v>339</v>
      </c>
      <c r="K17" s="324" t="s">
        <v>340</v>
      </c>
      <c r="L17" s="324" t="s">
        <v>341</v>
      </c>
      <c r="M17" s="324" t="s">
        <v>342</v>
      </c>
    </row>
    <row r="18" spans="1:13" ht="63" x14ac:dyDescent="0.2">
      <c r="A18" s="323" t="s">
        <v>343</v>
      </c>
      <c r="B18" s="324" t="s">
        <v>344</v>
      </c>
      <c r="C18" s="324" t="s">
        <v>345</v>
      </c>
      <c r="D18" s="324" t="s">
        <v>346</v>
      </c>
      <c r="E18" s="324" t="s">
        <v>347</v>
      </c>
      <c r="F18" s="324" t="s">
        <v>348</v>
      </c>
      <c r="G18" s="324" t="s">
        <v>349</v>
      </c>
      <c r="H18" s="324" t="s">
        <v>350</v>
      </c>
      <c r="I18" s="324" t="s">
        <v>351</v>
      </c>
      <c r="J18" s="324" t="s">
        <v>352</v>
      </c>
      <c r="K18" s="324" t="s">
        <v>353</v>
      </c>
      <c r="L18" s="324" t="s">
        <v>354</v>
      </c>
      <c r="M18" s="324" t="s">
        <v>355</v>
      </c>
    </row>
    <row r="19" spans="1:13" ht="63" x14ac:dyDescent="0.2">
      <c r="A19" s="323" t="s">
        <v>356</v>
      </c>
      <c r="B19" s="324" t="s">
        <v>357</v>
      </c>
      <c r="C19" s="324" t="s">
        <v>358</v>
      </c>
      <c r="D19" s="324" t="s">
        <v>359</v>
      </c>
      <c r="E19" s="324" t="s">
        <v>360</v>
      </c>
      <c r="F19" s="324" t="s">
        <v>361</v>
      </c>
      <c r="G19" s="324" t="s">
        <v>362</v>
      </c>
      <c r="H19" s="324" t="s">
        <v>363</v>
      </c>
      <c r="I19" s="324" t="s">
        <v>364</v>
      </c>
      <c r="J19" s="324" t="s">
        <v>365</v>
      </c>
      <c r="K19" s="324" t="s">
        <v>366</v>
      </c>
      <c r="L19" s="324" t="s">
        <v>367</v>
      </c>
      <c r="M19" s="324" t="s">
        <v>368</v>
      </c>
    </row>
    <row r="20" spans="1:13" x14ac:dyDescent="0.2">
      <c r="A20" s="316"/>
      <c r="B20" s="316"/>
      <c r="C20" s="316"/>
      <c r="D20" s="316"/>
      <c r="E20" s="316"/>
      <c r="F20" s="316"/>
      <c r="G20" s="316"/>
      <c r="H20" s="316"/>
    </row>
    <row r="21" spans="1:13" x14ac:dyDescent="0.2">
      <c r="A21" s="316"/>
      <c r="B21" s="316"/>
      <c r="C21" s="316"/>
      <c r="D21" s="316"/>
      <c r="E21" s="316"/>
      <c r="F21" s="316"/>
      <c r="G21" s="316"/>
      <c r="H21" s="316"/>
    </row>
    <row r="22" spans="1:13" x14ac:dyDescent="0.2">
      <c r="A22" s="316"/>
      <c r="B22" s="316"/>
      <c r="C22" s="316"/>
      <c r="D22" s="316"/>
      <c r="E22" s="316"/>
      <c r="F22" s="316"/>
      <c r="G22" s="316"/>
      <c r="H22" s="316"/>
    </row>
    <row r="23" spans="1:13" x14ac:dyDescent="0.2">
      <c r="A23" s="316"/>
      <c r="B23" s="316"/>
      <c r="C23" s="316"/>
      <c r="D23" s="316"/>
      <c r="E23" s="316"/>
      <c r="F23" s="316"/>
      <c r="G23" s="316"/>
      <c r="H23" s="316"/>
    </row>
    <row r="24" spans="1:13" x14ac:dyDescent="0.2">
      <c r="A24" s="316"/>
      <c r="B24" s="316"/>
      <c r="C24" s="316"/>
      <c r="D24" s="316"/>
      <c r="E24" s="316"/>
      <c r="F24" s="316"/>
      <c r="G24" s="316"/>
      <c r="H24" s="316"/>
    </row>
    <row r="25" spans="1:13" x14ac:dyDescent="0.2">
      <c r="A25" s="316"/>
      <c r="B25" s="316"/>
      <c r="C25" s="316"/>
      <c r="D25" s="316"/>
      <c r="E25" s="316"/>
      <c r="F25" s="316"/>
      <c r="G25" s="316"/>
      <c r="H25" s="316"/>
    </row>
    <row r="26" spans="1:13" x14ac:dyDescent="0.2">
      <c r="A26" s="316"/>
      <c r="B26" s="316"/>
      <c r="C26" s="316"/>
      <c r="D26" s="316"/>
      <c r="E26" s="316"/>
      <c r="F26" s="316"/>
      <c r="G26" s="316"/>
      <c r="H26" s="316"/>
    </row>
    <row r="27" spans="1:13" x14ac:dyDescent="0.2">
      <c r="A27" s="316"/>
      <c r="B27" s="316"/>
      <c r="C27" s="316"/>
      <c r="D27" s="316"/>
      <c r="E27" s="316"/>
      <c r="F27" s="316"/>
      <c r="G27" s="316"/>
      <c r="H27" s="316"/>
    </row>
    <row r="28" spans="1:13" x14ac:dyDescent="0.2">
      <c r="A28" s="316"/>
      <c r="B28" s="316"/>
      <c r="C28" s="316"/>
      <c r="D28" s="316"/>
      <c r="E28" s="316"/>
      <c r="F28" s="316"/>
      <c r="G28" s="316"/>
      <c r="H28" s="316"/>
    </row>
    <row r="29" spans="1:13" x14ac:dyDescent="0.2">
      <c r="A29" s="316"/>
      <c r="B29" s="316"/>
      <c r="C29" s="316"/>
      <c r="D29" s="316"/>
      <c r="E29" s="316"/>
      <c r="F29" s="316"/>
      <c r="G29" s="316"/>
      <c r="H29" s="316"/>
    </row>
    <row r="30" spans="1:13" x14ac:dyDescent="0.2">
      <c r="A30" s="316"/>
      <c r="B30" s="316"/>
      <c r="C30" s="316"/>
      <c r="D30" s="316"/>
      <c r="E30" s="316"/>
      <c r="F30" s="316"/>
      <c r="G30" s="316"/>
      <c r="H30" s="316"/>
    </row>
    <row r="31" spans="1:13" x14ac:dyDescent="0.2">
      <c r="A31" s="316"/>
      <c r="B31" s="316"/>
      <c r="C31" s="316"/>
      <c r="D31" s="316"/>
      <c r="E31" s="316"/>
      <c r="F31" s="316"/>
      <c r="G31" s="316"/>
      <c r="H31" s="316"/>
    </row>
    <row r="32" spans="1:13" x14ac:dyDescent="0.2">
      <c r="A32" s="316"/>
      <c r="B32" s="316"/>
      <c r="C32" s="316"/>
      <c r="D32" s="316"/>
      <c r="E32" s="316"/>
      <c r="F32" s="316"/>
      <c r="G32" s="316"/>
      <c r="H32" s="316"/>
    </row>
    <row r="33" spans="1:8" x14ac:dyDescent="0.2">
      <c r="A33" s="316"/>
      <c r="B33" s="316"/>
      <c r="C33" s="316"/>
      <c r="D33" s="316"/>
      <c r="E33" s="316"/>
      <c r="F33" s="316"/>
      <c r="G33" s="316"/>
      <c r="H33" s="316"/>
    </row>
  </sheetData>
  <mergeCells count="3">
    <mergeCell ref="A1:D1"/>
    <mergeCell ref="A10:H10"/>
    <mergeCell ref="I10:M10"/>
  </mergeCells>
  <pageMargins left="0.511811024" right="0.511811024" top="0.78740157499999996" bottom="0.78740157499999996" header="0.31496062000000002" footer="0.31496062000000002"/>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C8BCD-D033-4D51-9145-CFE5BA1C2AE3}">
  <sheetPr>
    <tabColor theme="2" tint="-0.499984740745262"/>
  </sheetPr>
  <dimension ref="A1:Z77"/>
  <sheetViews>
    <sheetView topLeftCell="D1" zoomScale="70" zoomScaleNormal="70" workbookViewId="0">
      <selection activeCell="AA7" sqref="AA7"/>
    </sheetView>
  </sheetViews>
  <sheetFormatPr defaultRowHeight="12.75" x14ac:dyDescent="0.2"/>
  <cols>
    <col min="1" max="1" width="37.42578125" customWidth="1"/>
    <col min="2" max="2" width="19.42578125" customWidth="1"/>
    <col min="3" max="3" width="19.140625" customWidth="1"/>
    <col min="4" max="4" width="19.85546875" customWidth="1"/>
    <col min="7" max="7" width="19" customWidth="1"/>
    <col min="8" max="8" width="16.140625" customWidth="1"/>
    <col min="9" max="9" width="28.42578125" customWidth="1"/>
    <col min="10" max="10" width="12.42578125" customWidth="1"/>
    <col min="11" max="11" width="19.28515625" customWidth="1"/>
    <col min="12" max="12" width="20.85546875" customWidth="1"/>
    <col min="13" max="13" width="21.140625" customWidth="1"/>
    <col min="21" max="21" width="4.28515625" customWidth="1"/>
    <col min="22" max="22" width="5.42578125" customWidth="1"/>
    <col min="23" max="23" width="2.28515625" customWidth="1"/>
  </cols>
  <sheetData>
    <row r="1" spans="1:26" ht="15" x14ac:dyDescent="0.2">
      <c r="A1" s="370" t="s">
        <v>429</v>
      </c>
      <c r="B1" s="22"/>
      <c r="C1" s="22"/>
    </row>
    <row r="2" spans="1:26" ht="15" x14ac:dyDescent="0.2">
      <c r="A2" s="371"/>
    </row>
    <row r="3" spans="1:26" ht="15" x14ac:dyDescent="0.2">
      <c r="A3" s="370" t="s">
        <v>430</v>
      </c>
      <c r="B3" s="22"/>
    </row>
    <row r="4" spans="1:26" ht="15.75" thickBot="1" x14ac:dyDescent="0.25">
      <c r="A4" s="370"/>
      <c r="B4" s="22"/>
    </row>
    <row r="5" spans="1:26" ht="54.75" customHeight="1" thickBot="1" x14ac:dyDescent="0.25">
      <c r="A5" s="372" t="s">
        <v>431</v>
      </c>
      <c r="B5" s="373" t="s">
        <v>432</v>
      </c>
      <c r="C5" s="373" t="s">
        <v>433</v>
      </c>
      <c r="D5" s="373" t="s">
        <v>434</v>
      </c>
      <c r="G5" s="374" t="s">
        <v>435</v>
      </c>
      <c r="H5" s="375"/>
      <c r="I5" s="375"/>
      <c r="J5" s="375"/>
      <c r="K5" s="375"/>
      <c r="L5" s="375"/>
      <c r="M5" s="375"/>
      <c r="N5" s="375"/>
      <c r="O5" s="375"/>
      <c r="P5" s="375"/>
      <c r="Q5" s="375"/>
      <c r="R5" s="375"/>
      <c r="S5" s="375"/>
      <c r="T5" s="375"/>
      <c r="U5" s="375"/>
      <c r="V5" s="375"/>
      <c r="W5" s="375"/>
      <c r="X5" s="376"/>
      <c r="Y5" s="377"/>
      <c r="Z5" s="378"/>
    </row>
    <row r="6" spans="1:26" ht="90.75" thickBot="1" x14ac:dyDescent="0.25">
      <c r="A6" s="379" t="s">
        <v>436</v>
      </c>
      <c r="B6" s="380" t="s">
        <v>437</v>
      </c>
      <c r="C6" s="380" t="s">
        <v>438</v>
      </c>
      <c r="D6" s="380" t="s">
        <v>439</v>
      </c>
      <c r="G6" s="368" t="s">
        <v>428</v>
      </c>
      <c r="H6" s="369"/>
      <c r="I6" s="369"/>
      <c r="J6" s="369"/>
      <c r="K6" s="369"/>
      <c r="L6" s="369"/>
      <c r="M6" s="381"/>
      <c r="N6" s="381"/>
      <c r="O6" s="369" t="s">
        <v>440</v>
      </c>
      <c r="P6" s="369"/>
      <c r="Q6" s="369"/>
      <c r="R6" s="369"/>
      <c r="S6" s="369"/>
      <c r="T6" s="369"/>
      <c r="U6" s="369"/>
      <c r="V6" s="369"/>
      <c r="W6" s="369"/>
      <c r="X6" s="382"/>
      <c r="Y6" s="377"/>
      <c r="Z6" s="378"/>
    </row>
    <row r="7" spans="1:26" ht="90.75" thickBot="1" x14ac:dyDescent="0.25">
      <c r="A7" s="379" t="s">
        <v>278</v>
      </c>
      <c r="B7" s="380" t="s">
        <v>441</v>
      </c>
      <c r="C7" s="380" t="s">
        <v>442</v>
      </c>
      <c r="D7" s="380" t="s">
        <v>443</v>
      </c>
      <c r="G7" s="383"/>
      <c r="H7" s="383"/>
      <c r="I7" s="384"/>
      <c r="J7" s="384"/>
      <c r="K7" s="384"/>
      <c r="L7" s="384"/>
      <c r="M7" s="384"/>
      <c r="N7" s="385"/>
      <c r="O7" s="385"/>
      <c r="P7" s="385"/>
      <c r="Q7" s="386"/>
      <c r="R7" s="386"/>
      <c r="S7" s="386"/>
      <c r="T7" s="386"/>
      <c r="U7" s="386"/>
      <c r="V7" s="386"/>
      <c r="W7" s="387"/>
      <c r="X7" s="387"/>
      <c r="Y7" s="387"/>
      <c r="Z7" s="387"/>
    </row>
    <row r="8" spans="1:26" ht="91.5" thickTop="1" thickBot="1" x14ac:dyDescent="0.25">
      <c r="A8" s="379" t="s">
        <v>291</v>
      </c>
      <c r="B8" s="380" t="s">
        <v>444</v>
      </c>
      <c r="C8" s="380" t="s">
        <v>445</v>
      </c>
      <c r="D8" s="380" t="s">
        <v>446</v>
      </c>
      <c r="G8" s="388" t="s">
        <v>0</v>
      </c>
      <c r="H8" s="389" t="s">
        <v>195</v>
      </c>
      <c r="I8" s="389" t="s">
        <v>447</v>
      </c>
      <c r="J8" s="389" t="s">
        <v>448</v>
      </c>
      <c r="K8" s="389" t="s">
        <v>449</v>
      </c>
      <c r="L8" s="389" t="s">
        <v>450</v>
      </c>
      <c r="M8" s="389" t="s">
        <v>451</v>
      </c>
      <c r="N8" s="390" t="s">
        <v>452</v>
      </c>
      <c r="O8" s="391"/>
      <c r="P8" s="392" t="s">
        <v>453</v>
      </c>
      <c r="Q8" s="393"/>
      <c r="R8" s="394"/>
      <c r="S8" s="392" t="s">
        <v>454</v>
      </c>
      <c r="T8" s="393"/>
      <c r="U8" s="393"/>
      <c r="V8" s="393"/>
      <c r="W8" s="394"/>
      <c r="X8" s="390" t="s">
        <v>6</v>
      </c>
      <c r="Y8" s="395"/>
      <c r="Z8" s="396"/>
    </row>
    <row r="9" spans="1:26" ht="60.75" thickBot="1" x14ac:dyDescent="0.25">
      <c r="A9" s="379" t="s">
        <v>455</v>
      </c>
      <c r="B9" s="380" t="s">
        <v>456</v>
      </c>
      <c r="C9" s="380" t="s">
        <v>457</v>
      </c>
      <c r="D9" s="380" t="s">
        <v>458</v>
      </c>
      <c r="G9" s="397" t="s">
        <v>459</v>
      </c>
      <c r="H9" s="398" t="s">
        <v>460</v>
      </c>
      <c r="I9" s="398" t="s">
        <v>461</v>
      </c>
      <c r="J9" s="398" t="s">
        <v>462</v>
      </c>
      <c r="K9" s="398" t="s">
        <v>463</v>
      </c>
      <c r="L9" s="398" t="s">
        <v>464</v>
      </c>
      <c r="M9" s="398" t="s">
        <v>465</v>
      </c>
      <c r="N9" s="399" t="s">
        <v>466</v>
      </c>
      <c r="O9" s="400"/>
      <c r="P9" s="399" t="s">
        <v>467</v>
      </c>
      <c r="Q9" s="401"/>
      <c r="R9" s="400"/>
      <c r="S9" s="399" t="s">
        <v>468</v>
      </c>
      <c r="T9" s="401"/>
      <c r="U9" s="401"/>
      <c r="V9" s="401"/>
      <c r="W9" s="400"/>
      <c r="X9" s="399" t="s">
        <v>469</v>
      </c>
      <c r="Y9" s="402"/>
      <c r="Z9" s="396"/>
    </row>
    <row r="10" spans="1:26" ht="75.75" thickBot="1" x14ac:dyDescent="0.25">
      <c r="A10" s="379" t="s">
        <v>470</v>
      </c>
      <c r="B10" s="380" t="s">
        <v>471</v>
      </c>
      <c r="C10" s="380" t="s">
        <v>472</v>
      </c>
      <c r="D10" s="380" t="s">
        <v>473</v>
      </c>
      <c r="G10" s="397" t="s">
        <v>474</v>
      </c>
      <c r="H10" s="398" t="s">
        <v>475</v>
      </c>
      <c r="I10" s="398" t="s">
        <v>476</v>
      </c>
      <c r="J10" s="398" t="s">
        <v>462</v>
      </c>
      <c r="K10" s="398" t="s">
        <v>477</v>
      </c>
      <c r="L10" s="398" t="s">
        <v>478</v>
      </c>
      <c r="M10" s="398" t="s">
        <v>278</v>
      </c>
      <c r="N10" s="399" t="s">
        <v>479</v>
      </c>
      <c r="O10" s="400"/>
      <c r="P10" s="399" t="s">
        <v>480</v>
      </c>
      <c r="Q10" s="401"/>
      <c r="R10" s="400"/>
      <c r="S10" s="399" t="s">
        <v>481</v>
      </c>
      <c r="T10" s="401"/>
      <c r="U10" s="401"/>
      <c r="V10" s="401"/>
      <c r="W10" s="400"/>
      <c r="X10" s="399" t="s">
        <v>482</v>
      </c>
      <c r="Y10" s="402"/>
      <c r="Z10" s="396"/>
    </row>
    <row r="11" spans="1:26" ht="90.75" thickBot="1" x14ac:dyDescent="0.25">
      <c r="A11" s="379" t="s">
        <v>483</v>
      </c>
      <c r="B11" s="380" t="s">
        <v>484</v>
      </c>
      <c r="C11" s="380" t="s">
        <v>485</v>
      </c>
      <c r="D11" s="380" t="s">
        <v>486</v>
      </c>
      <c r="G11" s="397" t="s">
        <v>487</v>
      </c>
      <c r="H11" s="398" t="s">
        <v>488</v>
      </c>
      <c r="I11" s="398" t="s">
        <v>489</v>
      </c>
      <c r="J11" s="398" t="s">
        <v>462</v>
      </c>
      <c r="K11" s="398" t="s">
        <v>490</v>
      </c>
      <c r="L11" s="398" t="s">
        <v>491</v>
      </c>
      <c r="M11" s="398" t="s">
        <v>291</v>
      </c>
      <c r="N11" s="399" t="s">
        <v>492</v>
      </c>
      <c r="O11" s="400"/>
      <c r="P11" s="399" t="s">
        <v>493</v>
      </c>
      <c r="Q11" s="401"/>
      <c r="R11" s="400"/>
      <c r="S11" s="399" t="s">
        <v>494</v>
      </c>
      <c r="T11" s="401"/>
      <c r="U11" s="401"/>
      <c r="V11" s="401"/>
      <c r="W11" s="400"/>
      <c r="X11" s="399" t="s">
        <v>495</v>
      </c>
      <c r="Y11" s="402"/>
      <c r="Z11" s="396"/>
    </row>
    <row r="12" spans="1:26" ht="75.75" thickBot="1" x14ac:dyDescent="0.25">
      <c r="A12" s="379" t="s">
        <v>343</v>
      </c>
      <c r="B12" s="380" t="s">
        <v>496</v>
      </c>
      <c r="C12" s="380" t="s">
        <v>497</v>
      </c>
      <c r="D12" s="380" t="s">
        <v>498</v>
      </c>
      <c r="G12" s="397" t="s">
        <v>499</v>
      </c>
      <c r="H12" s="398" t="s">
        <v>500</v>
      </c>
      <c r="I12" s="398" t="s">
        <v>501</v>
      </c>
      <c r="J12" s="398" t="s">
        <v>462</v>
      </c>
      <c r="K12" s="398" t="s">
        <v>502</v>
      </c>
      <c r="L12" s="398" t="s">
        <v>491</v>
      </c>
      <c r="M12" s="398" t="s">
        <v>503</v>
      </c>
      <c r="N12" s="399" t="s">
        <v>504</v>
      </c>
      <c r="O12" s="400"/>
      <c r="P12" s="399" t="s">
        <v>505</v>
      </c>
      <c r="Q12" s="401"/>
      <c r="R12" s="400"/>
      <c r="S12" s="399" t="s">
        <v>504</v>
      </c>
      <c r="T12" s="401"/>
      <c r="U12" s="401"/>
      <c r="V12" s="401"/>
      <c r="W12" s="400"/>
      <c r="X12" s="399" t="s">
        <v>506</v>
      </c>
      <c r="Y12" s="402"/>
      <c r="Z12" s="396"/>
    </row>
    <row r="13" spans="1:26" ht="75.75" thickBot="1" x14ac:dyDescent="0.25">
      <c r="A13" s="379" t="s">
        <v>356</v>
      </c>
      <c r="B13" s="380" t="s">
        <v>507</v>
      </c>
      <c r="C13" s="380" t="s">
        <v>508</v>
      </c>
      <c r="D13" s="380" t="s">
        <v>509</v>
      </c>
      <c r="G13" s="397" t="s">
        <v>510</v>
      </c>
      <c r="H13" s="398" t="s">
        <v>511</v>
      </c>
      <c r="I13" s="398" t="s">
        <v>512</v>
      </c>
      <c r="J13" s="398" t="s">
        <v>462</v>
      </c>
      <c r="K13" s="398" t="s">
        <v>513</v>
      </c>
      <c r="L13" s="398" t="s">
        <v>491</v>
      </c>
      <c r="M13" s="398" t="s">
        <v>514</v>
      </c>
      <c r="N13" s="399" t="s">
        <v>515</v>
      </c>
      <c r="O13" s="400"/>
      <c r="P13" s="399" t="s">
        <v>516</v>
      </c>
      <c r="Q13" s="401"/>
      <c r="R13" s="400"/>
      <c r="S13" s="399" t="s">
        <v>504</v>
      </c>
      <c r="T13" s="401"/>
      <c r="U13" s="401"/>
      <c r="V13" s="401"/>
      <c r="W13" s="400"/>
      <c r="X13" s="399" t="s">
        <v>517</v>
      </c>
      <c r="Y13" s="402"/>
      <c r="Z13" s="396"/>
    </row>
    <row r="14" spans="1:26" ht="51.75" thickBot="1" x14ac:dyDescent="0.25">
      <c r="G14" s="397" t="s">
        <v>518</v>
      </c>
      <c r="H14" s="398" t="s">
        <v>519</v>
      </c>
      <c r="I14" s="398" t="s">
        <v>520</v>
      </c>
      <c r="J14" s="398" t="s">
        <v>462</v>
      </c>
      <c r="K14" s="398" t="s">
        <v>521</v>
      </c>
      <c r="L14" s="398" t="s">
        <v>522</v>
      </c>
      <c r="M14" s="398" t="s">
        <v>523</v>
      </c>
      <c r="N14" s="399" t="s">
        <v>524</v>
      </c>
      <c r="O14" s="400"/>
      <c r="P14" s="399" t="s">
        <v>525</v>
      </c>
      <c r="Q14" s="401"/>
      <c r="R14" s="400"/>
      <c r="S14" s="399" t="s">
        <v>526</v>
      </c>
      <c r="T14" s="401"/>
      <c r="U14" s="401"/>
      <c r="V14" s="401"/>
      <c r="W14" s="400"/>
      <c r="X14" s="399" t="s">
        <v>527</v>
      </c>
      <c r="Y14" s="402"/>
      <c r="Z14" s="396"/>
    </row>
    <row r="15" spans="1:26" ht="51.75" thickBot="1" x14ac:dyDescent="0.25">
      <c r="G15" s="397" t="s">
        <v>528</v>
      </c>
      <c r="H15" s="398" t="s">
        <v>529</v>
      </c>
      <c r="I15" s="398" t="s">
        <v>530</v>
      </c>
      <c r="J15" s="398" t="s">
        <v>462</v>
      </c>
      <c r="K15" s="398" t="s">
        <v>531</v>
      </c>
      <c r="L15" s="398" t="s">
        <v>491</v>
      </c>
      <c r="M15" s="398" t="s">
        <v>532</v>
      </c>
      <c r="N15" s="399" t="s">
        <v>533</v>
      </c>
      <c r="O15" s="400"/>
      <c r="P15" s="399" t="s">
        <v>534</v>
      </c>
      <c r="Q15" s="401"/>
      <c r="R15" s="400"/>
      <c r="S15" s="399" t="s">
        <v>504</v>
      </c>
      <c r="T15" s="401"/>
      <c r="U15" s="401"/>
      <c r="V15" s="401"/>
      <c r="W15" s="400"/>
      <c r="X15" s="399" t="s">
        <v>535</v>
      </c>
      <c r="Y15" s="402"/>
      <c r="Z15" s="396"/>
    </row>
    <row r="16" spans="1:26" ht="64.5" thickBot="1" x14ac:dyDescent="0.25">
      <c r="G16" s="397" t="s">
        <v>536</v>
      </c>
      <c r="H16" s="398" t="s">
        <v>537</v>
      </c>
      <c r="I16" s="398" t="s">
        <v>538</v>
      </c>
      <c r="J16" s="398" t="s">
        <v>462</v>
      </c>
      <c r="K16" s="403" t="s">
        <v>539</v>
      </c>
      <c r="L16" s="398" t="s">
        <v>540</v>
      </c>
      <c r="M16" s="398" t="s">
        <v>541</v>
      </c>
      <c r="N16" s="399" t="s">
        <v>542</v>
      </c>
      <c r="O16" s="400"/>
      <c r="P16" s="399" t="s">
        <v>543</v>
      </c>
      <c r="Q16" s="401"/>
      <c r="R16" s="400"/>
      <c r="S16" s="399" t="s">
        <v>504</v>
      </c>
      <c r="T16" s="401"/>
      <c r="U16" s="401"/>
      <c r="V16" s="401"/>
      <c r="W16" s="400"/>
      <c r="X16" s="399" t="s">
        <v>544</v>
      </c>
      <c r="Y16" s="402"/>
      <c r="Z16" s="396"/>
    </row>
    <row r="17" spans="7:26" ht="13.5" thickBot="1" x14ac:dyDescent="0.25">
      <c r="G17" s="383"/>
      <c r="H17" s="383"/>
      <c r="I17" s="384"/>
      <c r="J17" s="384"/>
      <c r="K17" s="384"/>
      <c r="L17" s="384"/>
      <c r="M17" s="384"/>
      <c r="N17" s="386"/>
      <c r="O17" s="386"/>
      <c r="P17" s="386"/>
      <c r="Q17" s="386"/>
      <c r="R17" s="386"/>
      <c r="S17" s="386"/>
      <c r="T17" s="386"/>
      <c r="U17" s="386"/>
      <c r="V17" s="386"/>
      <c r="W17" s="387"/>
      <c r="X17" s="387"/>
      <c r="Y17" s="387"/>
      <c r="Z17" s="387"/>
    </row>
    <row r="18" spans="7:26" ht="25.5" customHeight="1" thickBot="1" x14ac:dyDescent="0.25">
      <c r="G18" s="384"/>
      <c r="H18" s="392" t="s">
        <v>545</v>
      </c>
      <c r="I18" s="394"/>
      <c r="J18" s="392" t="s">
        <v>546</v>
      </c>
      <c r="K18" s="393"/>
      <c r="L18" s="393"/>
      <c r="M18" s="404"/>
      <c r="N18" s="405" t="s">
        <v>547</v>
      </c>
      <c r="O18" s="393"/>
      <c r="P18" s="393"/>
      <c r="Q18" s="393"/>
      <c r="R18" s="393"/>
      <c r="S18" s="393"/>
      <c r="T18" s="393"/>
      <c r="U18" s="393"/>
      <c r="V18" s="393"/>
      <c r="W18" s="393"/>
      <c r="X18" s="393"/>
      <c r="Y18" s="404"/>
      <c r="Z18" s="396"/>
    </row>
    <row r="19" spans="7:26" ht="90" customHeight="1" thickBot="1" x14ac:dyDescent="0.25">
      <c r="G19" s="406" t="s">
        <v>548</v>
      </c>
      <c r="H19" s="407"/>
      <c r="I19" s="407"/>
      <c r="J19" s="407"/>
      <c r="K19" s="407"/>
      <c r="L19" s="407"/>
      <c r="M19" s="408"/>
      <c r="N19" s="409"/>
      <c r="O19" s="410"/>
      <c r="P19" s="410"/>
      <c r="Q19" s="410"/>
      <c r="R19" s="410"/>
      <c r="S19" s="410"/>
      <c r="T19" s="410"/>
      <c r="U19" s="411"/>
      <c r="V19" s="412"/>
      <c r="W19" s="412"/>
      <c r="X19" s="412"/>
      <c r="Y19" s="412"/>
      <c r="Z19" s="412"/>
    </row>
    <row r="23" spans="7:26" ht="17.25" x14ac:dyDescent="0.2">
      <c r="G23" s="413"/>
    </row>
    <row r="24" spans="7:26" x14ac:dyDescent="0.2">
      <c r="G24" s="414"/>
    </row>
    <row r="25" spans="7:26" ht="17.25" x14ac:dyDescent="0.2">
      <c r="G25" s="415"/>
    </row>
    <row r="26" spans="7:26" ht="17.25" x14ac:dyDescent="0.2">
      <c r="G26" s="415"/>
    </row>
    <row r="27" spans="7:26" ht="17.25" x14ac:dyDescent="0.2">
      <c r="G27" s="415"/>
    </row>
    <row r="28" spans="7:26" ht="17.25" x14ac:dyDescent="0.2">
      <c r="G28" s="415"/>
    </row>
    <row r="29" spans="7:26" ht="17.25" x14ac:dyDescent="0.2">
      <c r="G29" s="415"/>
    </row>
    <row r="30" spans="7:26" ht="17.25" x14ac:dyDescent="0.2">
      <c r="G30" s="415"/>
    </row>
    <row r="31" spans="7:26" ht="17.25" x14ac:dyDescent="0.2">
      <c r="G31" s="415"/>
    </row>
    <row r="32" spans="7:26" ht="17.25" x14ac:dyDescent="0.2">
      <c r="G32" s="415"/>
    </row>
    <row r="33" spans="7:7" ht="17.25" x14ac:dyDescent="0.2">
      <c r="G33" s="415"/>
    </row>
    <row r="34" spans="7:7" ht="17.25" x14ac:dyDescent="0.2">
      <c r="G34" s="415"/>
    </row>
    <row r="35" spans="7:7" ht="17.25" x14ac:dyDescent="0.2">
      <c r="G35" s="415"/>
    </row>
    <row r="37" spans="7:7" ht="17.25" x14ac:dyDescent="0.2">
      <c r="G37" s="413"/>
    </row>
    <row r="38" spans="7:7" x14ac:dyDescent="0.2">
      <c r="G38" s="414"/>
    </row>
    <row r="39" spans="7:7" ht="17.25" x14ac:dyDescent="0.2">
      <c r="G39" s="415"/>
    </row>
    <row r="40" spans="7:7" ht="17.25" x14ac:dyDescent="0.2">
      <c r="G40" s="415"/>
    </row>
    <row r="41" spans="7:7" ht="17.25" x14ac:dyDescent="0.2">
      <c r="G41" s="415"/>
    </row>
    <row r="42" spans="7:7" ht="17.25" x14ac:dyDescent="0.2">
      <c r="G42" s="415"/>
    </row>
    <row r="43" spans="7:7" ht="17.25" x14ac:dyDescent="0.2">
      <c r="G43" s="415"/>
    </row>
    <row r="44" spans="7:7" ht="17.25" x14ac:dyDescent="0.2">
      <c r="G44" s="415"/>
    </row>
    <row r="45" spans="7:7" ht="17.25" x14ac:dyDescent="0.2">
      <c r="G45" s="415"/>
    </row>
    <row r="46" spans="7:7" ht="17.25" x14ac:dyDescent="0.2">
      <c r="G46" s="415"/>
    </row>
    <row r="47" spans="7:7" ht="17.25" x14ac:dyDescent="0.2">
      <c r="G47" s="415"/>
    </row>
    <row r="48" spans="7:7" ht="17.25" x14ac:dyDescent="0.2">
      <c r="G48" s="415"/>
    </row>
    <row r="49" spans="7:7" ht="17.25" x14ac:dyDescent="0.2">
      <c r="G49" s="415"/>
    </row>
    <row r="51" spans="7:7" ht="17.25" x14ac:dyDescent="0.2">
      <c r="G51" s="413"/>
    </row>
    <row r="52" spans="7:7" x14ac:dyDescent="0.2">
      <c r="G52" s="414"/>
    </row>
    <row r="53" spans="7:7" ht="17.25" x14ac:dyDescent="0.2">
      <c r="G53" s="415"/>
    </row>
    <row r="54" spans="7:7" ht="17.25" x14ac:dyDescent="0.2">
      <c r="G54" s="415"/>
    </row>
    <row r="55" spans="7:7" ht="17.25" x14ac:dyDescent="0.2">
      <c r="G55" s="415"/>
    </row>
    <row r="56" spans="7:7" ht="17.25" x14ac:dyDescent="0.2">
      <c r="G56" s="415"/>
    </row>
    <row r="57" spans="7:7" ht="17.25" x14ac:dyDescent="0.2">
      <c r="G57" s="415"/>
    </row>
    <row r="58" spans="7:7" ht="17.25" x14ac:dyDescent="0.2">
      <c r="G58" s="415"/>
    </row>
    <row r="59" spans="7:7" ht="17.25" x14ac:dyDescent="0.2">
      <c r="G59" s="415"/>
    </row>
    <row r="60" spans="7:7" ht="17.25" x14ac:dyDescent="0.2">
      <c r="G60" s="415"/>
    </row>
    <row r="61" spans="7:7" ht="17.25" x14ac:dyDescent="0.2">
      <c r="G61" s="415"/>
    </row>
    <row r="62" spans="7:7" ht="17.25" x14ac:dyDescent="0.2">
      <c r="G62" s="415"/>
    </row>
    <row r="63" spans="7:7" ht="17.25" x14ac:dyDescent="0.2">
      <c r="G63" s="415"/>
    </row>
    <row r="65" spans="7:7" ht="17.25" x14ac:dyDescent="0.2">
      <c r="G65" s="413"/>
    </row>
    <row r="66" spans="7:7" x14ac:dyDescent="0.2">
      <c r="G66" s="414"/>
    </row>
    <row r="67" spans="7:7" ht="17.25" x14ac:dyDescent="0.2">
      <c r="G67" s="415"/>
    </row>
    <row r="68" spans="7:7" ht="17.25" x14ac:dyDescent="0.2">
      <c r="G68" s="415"/>
    </row>
    <row r="69" spans="7:7" ht="17.25" x14ac:dyDescent="0.2">
      <c r="G69" s="415"/>
    </row>
    <row r="70" spans="7:7" ht="17.25" x14ac:dyDescent="0.2">
      <c r="G70" s="415"/>
    </row>
    <row r="71" spans="7:7" ht="17.25" x14ac:dyDescent="0.2">
      <c r="G71" s="415"/>
    </row>
    <row r="72" spans="7:7" ht="17.25" x14ac:dyDescent="0.2">
      <c r="G72" s="415"/>
    </row>
    <row r="73" spans="7:7" ht="17.25" x14ac:dyDescent="0.2">
      <c r="G73" s="415"/>
    </row>
    <row r="74" spans="7:7" ht="17.25" x14ac:dyDescent="0.2">
      <c r="G74" s="415"/>
    </row>
    <row r="75" spans="7:7" ht="17.25" x14ac:dyDescent="0.2">
      <c r="G75" s="415"/>
    </row>
    <row r="76" spans="7:7" ht="17.25" x14ac:dyDescent="0.2">
      <c r="G76" s="415"/>
    </row>
    <row r="77" spans="7:7" ht="17.25" x14ac:dyDescent="0.2">
      <c r="G77" s="415"/>
    </row>
  </sheetData>
  <mergeCells count="56">
    <mergeCell ref="H18:I18"/>
    <mergeCell ref="J18:M18"/>
    <mergeCell ref="N18:Y18"/>
    <mergeCell ref="G19:M19"/>
    <mergeCell ref="N19:Q19"/>
    <mergeCell ref="R19:T19"/>
    <mergeCell ref="V19:Z19"/>
    <mergeCell ref="N16:O16"/>
    <mergeCell ref="P16:R16"/>
    <mergeCell ref="S16:W16"/>
    <mergeCell ref="X16:Y16"/>
    <mergeCell ref="N17:P17"/>
    <mergeCell ref="Q17:S17"/>
    <mergeCell ref="T17:V17"/>
    <mergeCell ref="W17:Z17"/>
    <mergeCell ref="N14:O14"/>
    <mergeCell ref="P14:R14"/>
    <mergeCell ref="S14:W14"/>
    <mergeCell ref="X14:Y14"/>
    <mergeCell ref="N15:O15"/>
    <mergeCell ref="P15:R15"/>
    <mergeCell ref="S15:W15"/>
    <mergeCell ref="X15:Y15"/>
    <mergeCell ref="N12:O12"/>
    <mergeCell ref="P12:R12"/>
    <mergeCell ref="S12:W12"/>
    <mergeCell ref="X12:Y12"/>
    <mergeCell ref="N13:O13"/>
    <mergeCell ref="P13:R13"/>
    <mergeCell ref="S13:W13"/>
    <mergeCell ref="X13:Y13"/>
    <mergeCell ref="N10:O10"/>
    <mergeCell ref="P10:R10"/>
    <mergeCell ref="S10:W10"/>
    <mergeCell ref="X10:Y10"/>
    <mergeCell ref="N11:O11"/>
    <mergeCell ref="P11:R11"/>
    <mergeCell ref="S11:W11"/>
    <mergeCell ref="X11:Y11"/>
    <mergeCell ref="N8:O8"/>
    <mergeCell ref="P8:R8"/>
    <mergeCell ref="S8:W8"/>
    <mergeCell ref="X8:Y8"/>
    <mergeCell ref="N9:O9"/>
    <mergeCell ref="P9:R9"/>
    <mergeCell ref="S9:W9"/>
    <mergeCell ref="X9:Y9"/>
    <mergeCell ref="G5:X5"/>
    <mergeCell ref="Y5:Z5"/>
    <mergeCell ref="G6:L6"/>
    <mergeCell ref="O6:X6"/>
    <mergeCell ref="Y6:Z6"/>
    <mergeCell ref="N7:P7"/>
    <mergeCell ref="Q7:S7"/>
    <mergeCell ref="T7:V7"/>
    <mergeCell ref="W7:Z7"/>
  </mergeCells>
  <pageMargins left="0.511811024" right="0.511811024" top="0.78740157499999996" bottom="0.78740157499999996" header="0.31496062000000002" footer="0.31496062000000002"/>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99CFC-FBC5-42F9-9C7E-32433409CFC9}">
  <sheetPr>
    <tabColor theme="4" tint="-0.249977111117893"/>
  </sheetPr>
  <dimension ref="D12:V18"/>
  <sheetViews>
    <sheetView zoomScale="70" zoomScaleNormal="70" workbookViewId="0">
      <selection activeCell="T35" sqref="T34:T35"/>
    </sheetView>
  </sheetViews>
  <sheetFormatPr defaultRowHeight="12.75" x14ac:dyDescent="0.2"/>
  <cols>
    <col min="4" max="4" width="29.42578125" bestFit="1" customWidth="1"/>
    <col min="5" max="5" width="21.140625" bestFit="1" customWidth="1"/>
    <col min="6" max="6" width="18.28515625" bestFit="1" customWidth="1"/>
    <col min="7" max="7" width="8.42578125" bestFit="1" customWidth="1"/>
    <col min="19" max="19" width="28.85546875" bestFit="1" customWidth="1"/>
    <col min="20" max="20" width="21" bestFit="1" customWidth="1"/>
    <col min="21" max="21" width="18.28515625" bestFit="1" customWidth="1"/>
  </cols>
  <sheetData>
    <row r="12" spans="4:22" ht="15.75" x14ac:dyDescent="0.25">
      <c r="D12" s="416" t="s">
        <v>549</v>
      </c>
      <c r="G12" s="22"/>
    </row>
    <row r="13" spans="4:22" ht="15.75" x14ac:dyDescent="0.25">
      <c r="D13" s="22" t="s">
        <v>550</v>
      </c>
      <c r="E13" s="22" t="s">
        <v>551</v>
      </c>
      <c r="F13" s="22" t="s">
        <v>552</v>
      </c>
      <c r="G13" s="22" t="s">
        <v>553</v>
      </c>
      <c r="S13" s="416"/>
      <c r="V13" s="22"/>
    </row>
    <row r="14" spans="4:22" x14ac:dyDescent="0.2">
      <c r="D14" s="204" t="s">
        <v>554</v>
      </c>
      <c r="E14" t="s">
        <v>555</v>
      </c>
      <c r="F14" t="s">
        <v>556</v>
      </c>
      <c r="G14" t="s">
        <v>557</v>
      </c>
      <c r="S14" s="22"/>
      <c r="T14" s="22"/>
      <c r="U14" s="22"/>
      <c r="V14" s="22"/>
    </row>
    <row r="15" spans="4:22" x14ac:dyDescent="0.2">
      <c r="D15" s="204" t="s">
        <v>558</v>
      </c>
      <c r="E15" t="s">
        <v>559</v>
      </c>
      <c r="F15" t="s">
        <v>560</v>
      </c>
      <c r="G15" t="s">
        <v>557</v>
      </c>
      <c r="S15" s="204"/>
    </row>
    <row r="16" spans="4:22" x14ac:dyDescent="0.2">
      <c r="D16" s="204" t="s">
        <v>561</v>
      </c>
      <c r="E16" t="s">
        <v>562</v>
      </c>
      <c r="F16" t="s">
        <v>560</v>
      </c>
      <c r="G16" t="s">
        <v>557</v>
      </c>
      <c r="S16" s="204"/>
    </row>
    <row r="17" spans="4:19" x14ac:dyDescent="0.2">
      <c r="D17" s="204" t="s">
        <v>563</v>
      </c>
      <c r="E17" t="s">
        <v>564</v>
      </c>
      <c r="F17" t="s">
        <v>560</v>
      </c>
      <c r="G17" t="s">
        <v>557</v>
      </c>
      <c r="S17" s="204"/>
    </row>
    <row r="18" spans="4:19" x14ac:dyDescent="0.2">
      <c r="S18" s="204"/>
    </row>
  </sheetData>
  <pageMargins left="0.511811024" right="0.511811024" top="0.78740157499999996" bottom="0.78740157499999996" header="0.31496062000000002" footer="0.3149606200000000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1F505-9398-4E66-869E-7EDF1976BD50}">
  <sheetPr>
    <tabColor theme="4" tint="0.59999389629810485"/>
  </sheetPr>
  <dimension ref="A1"/>
  <sheetViews>
    <sheetView workbookViewId="0">
      <selection activeCell="O32" sqref="O32"/>
    </sheetView>
  </sheetViews>
  <sheetFormatPr defaultRowHeight="12.75" x14ac:dyDescent="0.2"/>
  <sheetData/>
  <pageMargins left="0.511811024" right="0.511811024" top="0.78740157499999996" bottom="0.78740157499999996" header="0.31496062000000002" footer="0.31496062000000002"/>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E90BD-773D-4412-9875-C40F1C030A2D}">
  <sheetPr>
    <tabColor theme="7" tint="0.39997558519241921"/>
  </sheetPr>
  <dimension ref="B6:AS23"/>
  <sheetViews>
    <sheetView topLeftCell="A7" workbookViewId="0">
      <selection activeCell="F20" sqref="D14:F20"/>
    </sheetView>
  </sheetViews>
  <sheetFormatPr defaultColWidth="11.42578125" defaultRowHeight="12.75" x14ac:dyDescent="0.2"/>
  <cols>
    <col min="1" max="1" width="3.28515625" style="417" customWidth="1"/>
    <col min="2" max="2" width="4.28515625" style="417" customWidth="1"/>
    <col min="3" max="4" width="11.42578125" style="417"/>
    <col min="5" max="5" width="1" style="417" customWidth="1"/>
    <col min="6" max="6" width="4.7109375" style="417" customWidth="1"/>
    <col min="7" max="31" width="3.28515625" style="417" customWidth="1"/>
    <col min="32" max="256" width="11.42578125" style="417"/>
    <col min="257" max="257" width="3.28515625" style="417" customWidth="1"/>
    <col min="258" max="258" width="4.28515625" style="417" customWidth="1"/>
    <col min="259" max="260" width="11.42578125" style="417"/>
    <col min="261" max="261" width="1" style="417" customWidth="1"/>
    <col min="262" max="262" width="2.28515625" style="417" customWidth="1"/>
    <col min="263" max="287" width="3.28515625" style="417" customWidth="1"/>
    <col min="288" max="512" width="11.42578125" style="417"/>
    <col min="513" max="513" width="3.28515625" style="417" customWidth="1"/>
    <col min="514" max="514" width="4.28515625" style="417" customWidth="1"/>
    <col min="515" max="516" width="11.42578125" style="417"/>
    <col min="517" max="517" width="1" style="417" customWidth="1"/>
    <col min="518" max="518" width="2.28515625" style="417" customWidth="1"/>
    <col min="519" max="543" width="3.28515625" style="417" customWidth="1"/>
    <col min="544" max="768" width="11.42578125" style="417"/>
    <col min="769" max="769" width="3.28515625" style="417" customWidth="1"/>
    <col min="770" max="770" width="4.28515625" style="417" customWidth="1"/>
    <col min="771" max="772" width="11.42578125" style="417"/>
    <col min="773" max="773" width="1" style="417" customWidth="1"/>
    <col min="774" max="774" width="2.28515625" style="417" customWidth="1"/>
    <col min="775" max="799" width="3.28515625" style="417" customWidth="1"/>
    <col min="800" max="1024" width="11.42578125" style="417"/>
    <col min="1025" max="1025" width="3.28515625" style="417" customWidth="1"/>
    <col min="1026" max="1026" width="4.28515625" style="417" customWidth="1"/>
    <col min="1027" max="1028" width="11.42578125" style="417"/>
    <col min="1029" max="1029" width="1" style="417" customWidth="1"/>
    <col min="1030" max="1030" width="2.28515625" style="417" customWidth="1"/>
    <col min="1031" max="1055" width="3.28515625" style="417" customWidth="1"/>
    <col min="1056" max="1280" width="11.42578125" style="417"/>
    <col min="1281" max="1281" width="3.28515625" style="417" customWidth="1"/>
    <col min="1282" max="1282" width="4.28515625" style="417" customWidth="1"/>
    <col min="1283" max="1284" width="11.42578125" style="417"/>
    <col min="1285" max="1285" width="1" style="417" customWidth="1"/>
    <col min="1286" max="1286" width="2.28515625" style="417" customWidth="1"/>
    <col min="1287" max="1311" width="3.28515625" style="417" customWidth="1"/>
    <col min="1312" max="1536" width="11.42578125" style="417"/>
    <col min="1537" max="1537" width="3.28515625" style="417" customWidth="1"/>
    <col min="1538" max="1538" width="4.28515625" style="417" customWidth="1"/>
    <col min="1539" max="1540" width="11.42578125" style="417"/>
    <col min="1541" max="1541" width="1" style="417" customWidth="1"/>
    <col min="1542" max="1542" width="2.28515625" style="417" customWidth="1"/>
    <col min="1543" max="1567" width="3.28515625" style="417" customWidth="1"/>
    <col min="1568" max="1792" width="11.42578125" style="417"/>
    <col min="1793" max="1793" width="3.28515625" style="417" customWidth="1"/>
    <col min="1794" max="1794" width="4.28515625" style="417" customWidth="1"/>
    <col min="1795" max="1796" width="11.42578125" style="417"/>
    <col min="1797" max="1797" width="1" style="417" customWidth="1"/>
    <col min="1798" max="1798" width="2.28515625" style="417" customWidth="1"/>
    <col min="1799" max="1823" width="3.28515625" style="417" customWidth="1"/>
    <col min="1824" max="2048" width="11.42578125" style="417"/>
    <col min="2049" max="2049" width="3.28515625" style="417" customWidth="1"/>
    <col min="2050" max="2050" width="4.28515625" style="417" customWidth="1"/>
    <col min="2051" max="2052" width="11.42578125" style="417"/>
    <col min="2053" max="2053" width="1" style="417" customWidth="1"/>
    <col min="2054" max="2054" width="2.28515625" style="417" customWidth="1"/>
    <col min="2055" max="2079" width="3.28515625" style="417" customWidth="1"/>
    <col min="2080" max="2304" width="11.42578125" style="417"/>
    <col min="2305" max="2305" width="3.28515625" style="417" customWidth="1"/>
    <col min="2306" max="2306" width="4.28515625" style="417" customWidth="1"/>
    <col min="2307" max="2308" width="11.42578125" style="417"/>
    <col min="2309" max="2309" width="1" style="417" customWidth="1"/>
    <col min="2310" max="2310" width="2.28515625" style="417" customWidth="1"/>
    <col min="2311" max="2335" width="3.28515625" style="417" customWidth="1"/>
    <col min="2336" max="2560" width="11.42578125" style="417"/>
    <col min="2561" max="2561" width="3.28515625" style="417" customWidth="1"/>
    <col min="2562" max="2562" width="4.28515625" style="417" customWidth="1"/>
    <col min="2563" max="2564" width="11.42578125" style="417"/>
    <col min="2565" max="2565" width="1" style="417" customWidth="1"/>
    <col min="2566" max="2566" width="2.28515625" style="417" customWidth="1"/>
    <col min="2567" max="2591" width="3.28515625" style="417" customWidth="1"/>
    <col min="2592" max="2816" width="11.42578125" style="417"/>
    <col min="2817" max="2817" width="3.28515625" style="417" customWidth="1"/>
    <col min="2818" max="2818" width="4.28515625" style="417" customWidth="1"/>
    <col min="2819" max="2820" width="11.42578125" style="417"/>
    <col min="2821" max="2821" width="1" style="417" customWidth="1"/>
    <col min="2822" max="2822" width="2.28515625" style="417" customWidth="1"/>
    <col min="2823" max="2847" width="3.28515625" style="417" customWidth="1"/>
    <col min="2848" max="3072" width="11.42578125" style="417"/>
    <col min="3073" max="3073" width="3.28515625" style="417" customWidth="1"/>
    <col min="3074" max="3074" width="4.28515625" style="417" customWidth="1"/>
    <col min="3075" max="3076" width="11.42578125" style="417"/>
    <col min="3077" max="3077" width="1" style="417" customWidth="1"/>
    <col min="3078" max="3078" width="2.28515625" style="417" customWidth="1"/>
    <col min="3079" max="3103" width="3.28515625" style="417" customWidth="1"/>
    <col min="3104" max="3328" width="11.42578125" style="417"/>
    <col min="3329" max="3329" width="3.28515625" style="417" customWidth="1"/>
    <col min="3330" max="3330" width="4.28515625" style="417" customWidth="1"/>
    <col min="3331" max="3332" width="11.42578125" style="417"/>
    <col min="3333" max="3333" width="1" style="417" customWidth="1"/>
    <col min="3334" max="3334" width="2.28515625" style="417" customWidth="1"/>
    <col min="3335" max="3359" width="3.28515625" style="417" customWidth="1"/>
    <col min="3360" max="3584" width="11.42578125" style="417"/>
    <col min="3585" max="3585" width="3.28515625" style="417" customWidth="1"/>
    <col min="3586" max="3586" width="4.28515625" style="417" customWidth="1"/>
    <col min="3587" max="3588" width="11.42578125" style="417"/>
    <col min="3589" max="3589" width="1" style="417" customWidth="1"/>
    <col min="3590" max="3590" width="2.28515625" style="417" customWidth="1"/>
    <col min="3591" max="3615" width="3.28515625" style="417" customWidth="1"/>
    <col min="3616" max="3840" width="11.42578125" style="417"/>
    <col min="3841" max="3841" width="3.28515625" style="417" customWidth="1"/>
    <col min="3842" max="3842" width="4.28515625" style="417" customWidth="1"/>
    <col min="3843" max="3844" width="11.42578125" style="417"/>
    <col min="3845" max="3845" width="1" style="417" customWidth="1"/>
    <col min="3846" max="3846" width="2.28515625" style="417" customWidth="1"/>
    <col min="3847" max="3871" width="3.28515625" style="417" customWidth="1"/>
    <col min="3872" max="4096" width="11.42578125" style="417"/>
    <col min="4097" max="4097" width="3.28515625" style="417" customWidth="1"/>
    <col min="4098" max="4098" width="4.28515625" style="417" customWidth="1"/>
    <col min="4099" max="4100" width="11.42578125" style="417"/>
    <col min="4101" max="4101" width="1" style="417" customWidth="1"/>
    <col min="4102" max="4102" width="2.28515625" style="417" customWidth="1"/>
    <col min="4103" max="4127" width="3.28515625" style="417" customWidth="1"/>
    <col min="4128" max="4352" width="11.42578125" style="417"/>
    <col min="4353" max="4353" width="3.28515625" style="417" customWidth="1"/>
    <col min="4354" max="4354" width="4.28515625" style="417" customWidth="1"/>
    <col min="4355" max="4356" width="11.42578125" style="417"/>
    <col min="4357" max="4357" width="1" style="417" customWidth="1"/>
    <col min="4358" max="4358" width="2.28515625" style="417" customWidth="1"/>
    <col min="4359" max="4383" width="3.28515625" style="417" customWidth="1"/>
    <col min="4384" max="4608" width="11.42578125" style="417"/>
    <col min="4609" max="4609" width="3.28515625" style="417" customWidth="1"/>
    <col min="4610" max="4610" width="4.28515625" style="417" customWidth="1"/>
    <col min="4611" max="4612" width="11.42578125" style="417"/>
    <col min="4613" max="4613" width="1" style="417" customWidth="1"/>
    <col min="4614" max="4614" width="2.28515625" style="417" customWidth="1"/>
    <col min="4615" max="4639" width="3.28515625" style="417" customWidth="1"/>
    <col min="4640" max="4864" width="11.42578125" style="417"/>
    <col min="4865" max="4865" width="3.28515625" style="417" customWidth="1"/>
    <col min="4866" max="4866" width="4.28515625" style="417" customWidth="1"/>
    <col min="4867" max="4868" width="11.42578125" style="417"/>
    <col min="4869" max="4869" width="1" style="417" customWidth="1"/>
    <col min="4870" max="4870" width="2.28515625" style="417" customWidth="1"/>
    <col min="4871" max="4895" width="3.28515625" style="417" customWidth="1"/>
    <col min="4896" max="5120" width="11.42578125" style="417"/>
    <col min="5121" max="5121" width="3.28515625" style="417" customWidth="1"/>
    <col min="5122" max="5122" width="4.28515625" style="417" customWidth="1"/>
    <col min="5123" max="5124" width="11.42578125" style="417"/>
    <col min="5125" max="5125" width="1" style="417" customWidth="1"/>
    <col min="5126" max="5126" width="2.28515625" style="417" customWidth="1"/>
    <col min="5127" max="5151" width="3.28515625" style="417" customWidth="1"/>
    <col min="5152" max="5376" width="11.42578125" style="417"/>
    <col min="5377" max="5377" width="3.28515625" style="417" customWidth="1"/>
    <col min="5378" max="5378" width="4.28515625" style="417" customWidth="1"/>
    <col min="5379" max="5380" width="11.42578125" style="417"/>
    <col min="5381" max="5381" width="1" style="417" customWidth="1"/>
    <col min="5382" max="5382" width="2.28515625" style="417" customWidth="1"/>
    <col min="5383" max="5407" width="3.28515625" style="417" customWidth="1"/>
    <col min="5408" max="5632" width="11.42578125" style="417"/>
    <col min="5633" max="5633" width="3.28515625" style="417" customWidth="1"/>
    <col min="5634" max="5634" width="4.28515625" style="417" customWidth="1"/>
    <col min="5635" max="5636" width="11.42578125" style="417"/>
    <col min="5637" max="5637" width="1" style="417" customWidth="1"/>
    <col min="5638" max="5638" width="2.28515625" style="417" customWidth="1"/>
    <col min="5639" max="5663" width="3.28515625" style="417" customWidth="1"/>
    <col min="5664" max="5888" width="11.42578125" style="417"/>
    <col min="5889" max="5889" width="3.28515625" style="417" customWidth="1"/>
    <col min="5890" max="5890" width="4.28515625" style="417" customWidth="1"/>
    <col min="5891" max="5892" width="11.42578125" style="417"/>
    <col min="5893" max="5893" width="1" style="417" customWidth="1"/>
    <col min="5894" max="5894" width="2.28515625" style="417" customWidth="1"/>
    <col min="5895" max="5919" width="3.28515625" style="417" customWidth="1"/>
    <col min="5920" max="6144" width="11.42578125" style="417"/>
    <col min="6145" max="6145" width="3.28515625" style="417" customWidth="1"/>
    <col min="6146" max="6146" width="4.28515625" style="417" customWidth="1"/>
    <col min="6147" max="6148" width="11.42578125" style="417"/>
    <col min="6149" max="6149" width="1" style="417" customWidth="1"/>
    <col min="6150" max="6150" width="2.28515625" style="417" customWidth="1"/>
    <col min="6151" max="6175" width="3.28515625" style="417" customWidth="1"/>
    <col min="6176" max="6400" width="11.42578125" style="417"/>
    <col min="6401" max="6401" width="3.28515625" style="417" customWidth="1"/>
    <col min="6402" max="6402" width="4.28515625" style="417" customWidth="1"/>
    <col min="6403" max="6404" width="11.42578125" style="417"/>
    <col min="6405" max="6405" width="1" style="417" customWidth="1"/>
    <col min="6406" max="6406" width="2.28515625" style="417" customWidth="1"/>
    <col min="6407" max="6431" width="3.28515625" style="417" customWidth="1"/>
    <col min="6432" max="6656" width="11.42578125" style="417"/>
    <col min="6657" max="6657" width="3.28515625" style="417" customWidth="1"/>
    <col min="6658" max="6658" width="4.28515625" style="417" customWidth="1"/>
    <col min="6659" max="6660" width="11.42578125" style="417"/>
    <col min="6661" max="6661" width="1" style="417" customWidth="1"/>
    <col min="6662" max="6662" width="2.28515625" style="417" customWidth="1"/>
    <col min="6663" max="6687" width="3.28515625" style="417" customWidth="1"/>
    <col min="6688" max="6912" width="11.42578125" style="417"/>
    <col min="6913" max="6913" width="3.28515625" style="417" customWidth="1"/>
    <col min="6914" max="6914" width="4.28515625" style="417" customWidth="1"/>
    <col min="6915" max="6916" width="11.42578125" style="417"/>
    <col min="6917" max="6917" width="1" style="417" customWidth="1"/>
    <col min="6918" max="6918" width="2.28515625" style="417" customWidth="1"/>
    <col min="6919" max="6943" width="3.28515625" style="417" customWidth="1"/>
    <col min="6944" max="7168" width="11.42578125" style="417"/>
    <col min="7169" max="7169" width="3.28515625" style="417" customWidth="1"/>
    <col min="7170" max="7170" width="4.28515625" style="417" customWidth="1"/>
    <col min="7171" max="7172" width="11.42578125" style="417"/>
    <col min="7173" max="7173" width="1" style="417" customWidth="1"/>
    <col min="7174" max="7174" width="2.28515625" style="417" customWidth="1"/>
    <col min="7175" max="7199" width="3.28515625" style="417" customWidth="1"/>
    <col min="7200" max="7424" width="11.42578125" style="417"/>
    <col min="7425" max="7425" width="3.28515625" style="417" customWidth="1"/>
    <col min="7426" max="7426" width="4.28515625" style="417" customWidth="1"/>
    <col min="7427" max="7428" width="11.42578125" style="417"/>
    <col min="7429" max="7429" width="1" style="417" customWidth="1"/>
    <col min="7430" max="7430" width="2.28515625" style="417" customWidth="1"/>
    <col min="7431" max="7455" width="3.28515625" style="417" customWidth="1"/>
    <col min="7456" max="7680" width="11.42578125" style="417"/>
    <col min="7681" max="7681" width="3.28515625" style="417" customWidth="1"/>
    <col min="7682" max="7682" width="4.28515625" style="417" customWidth="1"/>
    <col min="7683" max="7684" width="11.42578125" style="417"/>
    <col min="7685" max="7685" width="1" style="417" customWidth="1"/>
    <col min="7686" max="7686" width="2.28515625" style="417" customWidth="1"/>
    <col min="7687" max="7711" width="3.28515625" style="417" customWidth="1"/>
    <col min="7712" max="7936" width="11.42578125" style="417"/>
    <col min="7937" max="7937" width="3.28515625" style="417" customWidth="1"/>
    <col min="7938" max="7938" width="4.28515625" style="417" customWidth="1"/>
    <col min="7939" max="7940" width="11.42578125" style="417"/>
    <col min="7941" max="7941" width="1" style="417" customWidth="1"/>
    <col min="7942" max="7942" width="2.28515625" style="417" customWidth="1"/>
    <col min="7943" max="7967" width="3.28515625" style="417" customWidth="1"/>
    <col min="7968" max="8192" width="11.42578125" style="417"/>
    <col min="8193" max="8193" width="3.28515625" style="417" customWidth="1"/>
    <col min="8194" max="8194" width="4.28515625" style="417" customWidth="1"/>
    <col min="8195" max="8196" width="11.42578125" style="417"/>
    <col min="8197" max="8197" width="1" style="417" customWidth="1"/>
    <col min="8198" max="8198" width="2.28515625" style="417" customWidth="1"/>
    <col min="8199" max="8223" width="3.28515625" style="417" customWidth="1"/>
    <col min="8224" max="8448" width="11.42578125" style="417"/>
    <col min="8449" max="8449" width="3.28515625" style="417" customWidth="1"/>
    <col min="8450" max="8450" width="4.28515625" style="417" customWidth="1"/>
    <col min="8451" max="8452" width="11.42578125" style="417"/>
    <col min="8453" max="8453" width="1" style="417" customWidth="1"/>
    <col min="8454" max="8454" width="2.28515625" style="417" customWidth="1"/>
    <col min="8455" max="8479" width="3.28515625" style="417" customWidth="1"/>
    <col min="8480" max="8704" width="11.42578125" style="417"/>
    <col min="8705" max="8705" width="3.28515625" style="417" customWidth="1"/>
    <col min="8706" max="8706" width="4.28515625" style="417" customWidth="1"/>
    <col min="8707" max="8708" width="11.42578125" style="417"/>
    <col min="8709" max="8709" width="1" style="417" customWidth="1"/>
    <col min="8710" max="8710" width="2.28515625" style="417" customWidth="1"/>
    <col min="8711" max="8735" width="3.28515625" style="417" customWidth="1"/>
    <col min="8736" max="8960" width="11.42578125" style="417"/>
    <col min="8961" max="8961" width="3.28515625" style="417" customWidth="1"/>
    <col min="8962" max="8962" width="4.28515625" style="417" customWidth="1"/>
    <col min="8963" max="8964" width="11.42578125" style="417"/>
    <col min="8965" max="8965" width="1" style="417" customWidth="1"/>
    <col min="8966" max="8966" width="2.28515625" style="417" customWidth="1"/>
    <col min="8967" max="8991" width="3.28515625" style="417" customWidth="1"/>
    <col min="8992" max="9216" width="11.42578125" style="417"/>
    <col min="9217" max="9217" width="3.28515625" style="417" customWidth="1"/>
    <col min="9218" max="9218" width="4.28515625" style="417" customWidth="1"/>
    <col min="9219" max="9220" width="11.42578125" style="417"/>
    <col min="9221" max="9221" width="1" style="417" customWidth="1"/>
    <col min="9222" max="9222" width="2.28515625" style="417" customWidth="1"/>
    <col min="9223" max="9247" width="3.28515625" style="417" customWidth="1"/>
    <col min="9248" max="9472" width="11.42578125" style="417"/>
    <col min="9473" max="9473" width="3.28515625" style="417" customWidth="1"/>
    <col min="9474" max="9474" width="4.28515625" style="417" customWidth="1"/>
    <col min="9475" max="9476" width="11.42578125" style="417"/>
    <col min="9477" max="9477" width="1" style="417" customWidth="1"/>
    <col min="9478" max="9478" width="2.28515625" style="417" customWidth="1"/>
    <col min="9479" max="9503" width="3.28515625" style="417" customWidth="1"/>
    <col min="9504" max="9728" width="11.42578125" style="417"/>
    <col min="9729" max="9729" width="3.28515625" style="417" customWidth="1"/>
    <col min="9730" max="9730" width="4.28515625" style="417" customWidth="1"/>
    <col min="9731" max="9732" width="11.42578125" style="417"/>
    <col min="9733" max="9733" width="1" style="417" customWidth="1"/>
    <col min="9734" max="9734" width="2.28515625" style="417" customWidth="1"/>
    <col min="9735" max="9759" width="3.28515625" style="417" customWidth="1"/>
    <col min="9760" max="9984" width="11.42578125" style="417"/>
    <col min="9985" max="9985" width="3.28515625" style="417" customWidth="1"/>
    <col min="9986" max="9986" width="4.28515625" style="417" customWidth="1"/>
    <col min="9987" max="9988" width="11.42578125" style="417"/>
    <col min="9989" max="9989" width="1" style="417" customWidth="1"/>
    <col min="9990" max="9990" width="2.28515625" style="417" customWidth="1"/>
    <col min="9991" max="10015" width="3.28515625" style="417" customWidth="1"/>
    <col min="10016" max="10240" width="11.42578125" style="417"/>
    <col min="10241" max="10241" width="3.28515625" style="417" customWidth="1"/>
    <col min="10242" max="10242" width="4.28515625" style="417" customWidth="1"/>
    <col min="10243" max="10244" width="11.42578125" style="417"/>
    <col min="10245" max="10245" width="1" style="417" customWidth="1"/>
    <col min="10246" max="10246" width="2.28515625" style="417" customWidth="1"/>
    <col min="10247" max="10271" width="3.28515625" style="417" customWidth="1"/>
    <col min="10272" max="10496" width="11.42578125" style="417"/>
    <col min="10497" max="10497" width="3.28515625" style="417" customWidth="1"/>
    <col min="10498" max="10498" width="4.28515625" style="417" customWidth="1"/>
    <col min="10499" max="10500" width="11.42578125" style="417"/>
    <col min="10501" max="10501" width="1" style="417" customWidth="1"/>
    <col min="10502" max="10502" width="2.28515625" style="417" customWidth="1"/>
    <col min="10503" max="10527" width="3.28515625" style="417" customWidth="1"/>
    <col min="10528" max="10752" width="11.42578125" style="417"/>
    <col min="10753" max="10753" width="3.28515625" style="417" customWidth="1"/>
    <col min="10754" max="10754" width="4.28515625" style="417" customWidth="1"/>
    <col min="10755" max="10756" width="11.42578125" style="417"/>
    <col min="10757" max="10757" width="1" style="417" customWidth="1"/>
    <col min="10758" max="10758" width="2.28515625" style="417" customWidth="1"/>
    <col min="10759" max="10783" width="3.28515625" style="417" customWidth="1"/>
    <col min="10784" max="11008" width="11.42578125" style="417"/>
    <col min="11009" max="11009" width="3.28515625" style="417" customWidth="1"/>
    <col min="11010" max="11010" width="4.28515625" style="417" customWidth="1"/>
    <col min="11011" max="11012" width="11.42578125" style="417"/>
    <col min="11013" max="11013" width="1" style="417" customWidth="1"/>
    <col min="11014" max="11014" width="2.28515625" style="417" customWidth="1"/>
    <col min="11015" max="11039" width="3.28515625" style="417" customWidth="1"/>
    <col min="11040" max="11264" width="11.42578125" style="417"/>
    <col min="11265" max="11265" width="3.28515625" style="417" customWidth="1"/>
    <col min="11266" max="11266" width="4.28515625" style="417" customWidth="1"/>
    <col min="11267" max="11268" width="11.42578125" style="417"/>
    <col min="11269" max="11269" width="1" style="417" customWidth="1"/>
    <col min="11270" max="11270" width="2.28515625" style="417" customWidth="1"/>
    <col min="11271" max="11295" width="3.28515625" style="417" customWidth="1"/>
    <col min="11296" max="11520" width="11.42578125" style="417"/>
    <col min="11521" max="11521" width="3.28515625" style="417" customWidth="1"/>
    <col min="11522" max="11522" width="4.28515625" style="417" customWidth="1"/>
    <col min="11523" max="11524" width="11.42578125" style="417"/>
    <col min="11525" max="11525" width="1" style="417" customWidth="1"/>
    <col min="11526" max="11526" width="2.28515625" style="417" customWidth="1"/>
    <col min="11527" max="11551" width="3.28515625" style="417" customWidth="1"/>
    <col min="11552" max="11776" width="11.42578125" style="417"/>
    <col min="11777" max="11777" width="3.28515625" style="417" customWidth="1"/>
    <col min="11778" max="11778" width="4.28515625" style="417" customWidth="1"/>
    <col min="11779" max="11780" width="11.42578125" style="417"/>
    <col min="11781" max="11781" width="1" style="417" customWidth="1"/>
    <col min="11782" max="11782" width="2.28515625" style="417" customWidth="1"/>
    <col min="11783" max="11807" width="3.28515625" style="417" customWidth="1"/>
    <col min="11808" max="12032" width="11.42578125" style="417"/>
    <col min="12033" max="12033" width="3.28515625" style="417" customWidth="1"/>
    <col min="12034" max="12034" width="4.28515625" style="417" customWidth="1"/>
    <col min="12035" max="12036" width="11.42578125" style="417"/>
    <col min="12037" max="12037" width="1" style="417" customWidth="1"/>
    <col min="12038" max="12038" width="2.28515625" style="417" customWidth="1"/>
    <col min="12039" max="12063" width="3.28515625" style="417" customWidth="1"/>
    <col min="12064" max="12288" width="11.42578125" style="417"/>
    <col min="12289" max="12289" width="3.28515625" style="417" customWidth="1"/>
    <col min="12290" max="12290" width="4.28515625" style="417" customWidth="1"/>
    <col min="12291" max="12292" width="11.42578125" style="417"/>
    <col min="12293" max="12293" width="1" style="417" customWidth="1"/>
    <col min="12294" max="12294" width="2.28515625" style="417" customWidth="1"/>
    <col min="12295" max="12319" width="3.28515625" style="417" customWidth="1"/>
    <col min="12320" max="12544" width="11.42578125" style="417"/>
    <col min="12545" max="12545" width="3.28515625" style="417" customWidth="1"/>
    <col min="12546" max="12546" width="4.28515625" style="417" customWidth="1"/>
    <col min="12547" max="12548" width="11.42578125" style="417"/>
    <col min="12549" max="12549" width="1" style="417" customWidth="1"/>
    <col min="12550" max="12550" width="2.28515625" style="417" customWidth="1"/>
    <col min="12551" max="12575" width="3.28515625" style="417" customWidth="1"/>
    <col min="12576" max="12800" width="11.42578125" style="417"/>
    <col min="12801" max="12801" width="3.28515625" style="417" customWidth="1"/>
    <col min="12802" max="12802" width="4.28515625" style="417" customWidth="1"/>
    <col min="12803" max="12804" width="11.42578125" style="417"/>
    <col min="12805" max="12805" width="1" style="417" customWidth="1"/>
    <col min="12806" max="12806" width="2.28515625" style="417" customWidth="1"/>
    <col min="12807" max="12831" width="3.28515625" style="417" customWidth="1"/>
    <col min="12832" max="13056" width="11.42578125" style="417"/>
    <col min="13057" max="13057" width="3.28515625" style="417" customWidth="1"/>
    <col min="13058" max="13058" width="4.28515625" style="417" customWidth="1"/>
    <col min="13059" max="13060" width="11.42578125" style="417"/>
    <col min="13061" max="13061" width="1" style="417" customWidth="1"/>
    <col min="13062" max="13062" width="2.28515625" style="417" customWidth="1"/>
    <col min="13063" max="13087" width="3.28515625" style="417" customWidth="1"/>
    <col min="13088" max="13312" width="11.42578125" style="417"/>
    <col min="13313" max="13313" width="3.28515625" style="417" customWidth="1"/>
    <col min="13314" max="13314" width="4.28515625" style="417" customWidth="1"/>
    <col min="13315" max="13316" width="11.42578125" style="417"/>
    <col min="13317" max="13317" width="1" style="417" customWidth="1"/>
    <col min="13318" max="13318" width="2.28515625" style="417" customWidth="1"/>
    <col min="13319" max="13343" width="3.28515625" style="417" customWidth="1"/>
    <col min="13344" max="13568" width="11.42578125" style="417"/>
    <col min="13569" max="13569" width="3.28515625" style="417" customWidth="1"/>
    <col min="13570" max="13570" width="4.28515625" style="417" customWidth="1"/>
    <col min="13571" max="13572" width="11.42578125" style="417"/>
    <col min="13573" max="13573" width="1" style="417" customWidth="1"/>
    <col min="13574" max="13574" width="2.28515625" style="417" customWidth="1"/>
    <col min="13575" max="13599" width="3.28515625" style="417" customWidth="1"/>
    <col min="13600" max="13824" width="11.42578125" style="417"/>
    <col min="13825" max="13825" width="3.28515625" style="417" customWidth="1"/>
    <col min="13826" max="13826" width="4.28515625" style="417" customWidth="1"/>
    <col min="13827" max="13828" width="11.42578125" style="417"/>
    <col min="13829" max="13829" width="1" style="417" customWidth="1"/>
    <col min="13830" max="13830" width="2.28515625" style="417" customWidth="1"/>
    <col min="13831" max="13855" width="3.28515625" style="417" customWidth="1"/>
    <col min="13856" max="14080" width="11.42578125" style="417"/>
    <col min="14081" max="14081" width="3.28515625" style="417" customWidth="1"/>
    <col min="14082" max="14082" width="4.28515625" style="417" customWidth="1"/>
    <col min="14083" max="14084" width="11.42578125" style="417"/>
    <col min="14085" max="14085" width="1" style="417" customWidth="1"/>
    <col min="14086" max="14086" width="2.28515625" style="417" customWidth="1"/>
    <col min="14087" max="14111" width="3.28515625" style="417" customWidth="1"/>
    <col min="14112" max="14336" width="11.42578125" style="417"/>
    <col min="14337" max="14337" width="3.28515625" style="417" customWidth="1"/>
    <col min="14338" max="14338" width="4.28515625" style="417" customWidth="1"/>
    <col min="14339" max="14340" width="11.42578125" style="417"/>
    <col min="14341" max="14341" width="1" style="417" customWidth="1"/>
    <col min="14342" max="14342" width="2.28515625" style="417" customWidth="1"/>
    <col min="14343" max="14367" width="3.28515625" style="417" customWidth="1"/>
    <col min="14368" max="14592" width="11.42578125" style="417"/>
    <col min="14593" max="14593" width="3.28515625" style="417" customWidth="1"/>
    <col min="14594" max="14594" width="4.28515625" style="417" customWidth="1"/>
    <col min="14595" max="14596" width="11.42578125" style="417"/>
    <col min="14597" max="14597" width="1" style="417" customWidth="1"/>
    <col min="14598" max="14598" width="2.28515625" style="417" customWidth="1"/>
    <col min="14599" max="14623" width="3.28515625" style="417" customWidth="1"/>
    <col min="14624" max="14848" width="11.42578125" style="417"/>
    <col min="14849" max="14849" width="3.28515625" style="417" customWidth="1"/>
    <col min="14850" max="14850" width="4.28515625" style="417" customWidth="1"/>
    <col min="14851" max="14852" width="11.42578125" style="417"/>
    <col min="14853" max="14853" width="1" style="417" customWidth="1"/>
    <col min="14854" max="14854" width="2.28515625" style="417" customWidth="1"/>
    <col min="14855" max="14879" width="3.28515625" style="417" customWidth="1"/>
    <col min="14880" max="15104" width="11.42578125" style="417"/>
    <col min="15105" max="15105" width="3.28515625" style="417" customWidth="1"/>
    <col min="15106" max="15106" width="4.28515625" style="417" customWidth="1"/>
    <col min="15107" max="15108" width="11.42578125" style="417"/>
    <col min="15109" max="15109" width="1" style="417" customWidth="1"/>
    <col min="15110" max="15110" width="2.28515625" style="417" customWidth="1"/>
    <col min="15111" max="15135" width="3.28515625" style="417" customWidth="1"/>
    <col min="15136" max="15360" width="11.42578125" style="417"/>
    <col min="15361" max="15361" width="3.28515625" style="417" customWidth="1"/>
    <col min="15362" max="15362" width="4.28515625" style="417" customWidth="1"/>
    <col min="15363" max="15364" width="11.42578125" style="417"/>
    <col min="15365" max="15365" width="1" style="417" customWidth="1"/>
    <col min="15366" max="15366" width="2.28515625" style="417" customWidth="1"/>
    <col min="15367" max="15391" width="3.28515625" style="417" customWidth="1"/>
    <col min="15392" max="15616" width="11.42578125" style="417"/>
    <col min="15617" max="15617" width="3.28515625" style="417" customWidth="1"/>
    <col min="15618" max="15618" width="4.28515625" style="417" customWidth="1"/>
    <col min="15619" max="15620" width="11.42578125" style="417"/>
    <col min="15621" max="15621" width="1" style="417" customWidth="1"/>
    <col min="15622" max="15622" width="2.28515625" style="417" customWidth="1"/>
    <col min="15623" max="15647" width="3.28515625" style="417" customWidth="1"/>
    <col min="15648" max="15872" width="11.42578125" style="417"/>
    <col min="15873" max="15873" width="3.28515625" style="417" customWidth="1"/>
    <col min="15874" max="15874" width="4.28515625" style="417" customWidth="1"/>
    <col min="15875" max="15876" width="11.42578125" style="417"/>
    <col min="15877" max="15877" width="1" style="417" customWidth="1"/>
    <col min="15878" max="15878" width="2.28515625" style="417" customWidth="1"/>
    <col min="15879" max="15903" width="3.28515625" style="417" customWidth="1"/>
    <col min="15904" max="16128" width="11.42578125" style="417"/>
    <col min="16129" max="16129" width="3.28515625" style="417" customWidth="1"/>
    <col min="16130" max="16130" width="4.28515625" style="417" customWidth="1"/>
    <col min="16131" max="16132" width="11.42578125" style="417"/>
    <col min="16133" max="16133" width="1" style="417" customWidth="1"/>
    <col min="16134" max="16134" width="2.28515625" style="417" customWidth="1"/>
    <col min="16135" max="16159" width="3.28515625" style="417" customWidth="1"/>
    <col min="16160" max="16384" width="11.42578125" style="417"/>
  </cols>
  <sheetData>
    <row r="6" spans="2:45" ht="15.75" x14ac:dyDescent="0.2">
      <c r="C6" s="418"/>
      <c r="J6" s="418"/>
      <c r="K6" s="418"/>
    </row>
    <row r="8" spans="2:45" ht="19.5" thickBot="1" x14ac:dyDescent="0.35">
      <c r="B8" s="419" t="s">
        <v>565</v>
      </c>
      <c r="C8" s="420"/>
      <c r="D8" s="420"/>
      <c r="F8" s="421"/>
      <c r="G8" s="422" t="s">
        <v>566</v>
      </c>
      <c r="H8" s="423"/>
      <c r="I8" s="423"/>
      <c r="J8" s="423"/>
      <c r="K8" s="423"/>
      <c r="L8" s="423"/>
      <c r="M8" s="423"/>
      <c r="N8" s="423"/>
      <c r="O8" s="423"/>
      <c r="P8" s="423"/>
      <c r="Q8" s="423"/>
      <c r="W8" s="424"/>
    </row>
    <row r="9" spans="2:45" ht="18.75" x14ac:dyDescent="0.3">
      <c r="B9" s="425">
        <v>0</v>
      </c>
      <c r="C9" s="426" t="s">
        <v>567</v>
      </c>
      <c r="D9" s="427"/>
      <c r="F9" s="421"/>
      <c r="G9" s="428"/>
      <c r="H9" s="428"/>
      <c r="I9" s="428"/>
      <c r="J9" s="428" t="s">
        <v>568</v>
      </c>
      <c r="K9" s="428"/>
      <c r="L9" s="428"/>
      <c r="M9" s="428"/>
      <c r="N9" s="428"/>
      <c r="O9" s="428"/>
      <c r="P9" s="428"/>
      <c r="Q9" s="428"/>
      <c r="R9" s="428"/>
      <c r="S9" s="428"/>
      <c r="T9" s="428"/>
      <c r="U9" s="428"/>
      <c r="V9" s="428"/>
      <c r="W9" s="429"/>
      <c r="X9" s="430"/>
    </row>
    <row r="10" spans="2:45" ht="18.75" x14ac:dyDescent="0.3">
      <c r="B10" s="431">
        <v>2</v>
      </c>
      <c r="C10" s="432" t="s">
        <v>569</v>
      </c>
      <c r="D10" s="433"/>
      <c r="F10" s="421"/>
      <c r="G10"/>
      <c r="H10"/>
      <c r="I10"/>
      <c r="J10"/>
      <c r="K10"/>
      <c r="L10"/>
    </row>
    <row r="11" spans="2:45" ht="18.75" x14ac:dyDescent="0.3">
      <c r="B11" s="434">
        <v>5</v>
      </c>
      <c r="C11" s="435" t="s">
        <v>570</v>
      </c>
      <c r="D11" s="436"/>
      <c r="F11" s="421"/>
      <c r="G11" s="204" t="s">
        <v>571</v>
      </c>
      <c r="H11"/>
      <c r="I11"/>
      <c r="J11"/>
      <c r="K11"/>
      <c r="L11"/>
      <c r="M11"/>
      <c r="N11"/>
      <c r="O11"/>
      <c r="P11"/>
      <c r="Q11"/>
      <c r="W11" s="424"/>
    </row>
    <row r="12" spans="2:45" ht="13.5" thickBot="1" x14ac:dyDescent="0.25">
      <c r="B12" s="437">
        <v>8</v>
      </c>
      <c r="C12" s="438" t="s">
        <v>572</v>
      </c>
      <c r="D12" s="439"/>
      <c r="F12"/>
      <c r="G12" s="204" t="s">
        <v>573</v>
      </c>
      <c r="H12"/>
      <c r="I12"/>
      <c r="J12"/>
      <c r="K12"/>
      <c r="L12"/>
      <c r="M12"/>
      <c r="W12" s="424"/>
    </row>
    <row r="13" spans="2:45" ht="19.5" thickBot="1" x14ac:dyDescent="0.35">
      <c r="B13" s="440">
        <v>10</v>
      </c>
      <c r="C13" s="441" t="s">
        <v>574</v>
      </c>
      <c r="D13" s="442"/>
      <c r="F13" s="421"/>
      <c r="G13" s="443" t="s">
        <v>575</v>
      </c>
      <c r="H13" s="444"/>
      <c r="I13" s="444"/>
      <c r="J13" s="444"/>
      <c r="K13" s="444"/>
      <c r="L13" s="444"/>
      <c r="M13" s="444"/>
      <c r="N13" s="444"/>
      <c r="O13" s="444"/>
      <c r="P13" s="444"/>
      <c r="Q13" s="444"/>
      <c r="R13" s="444"/>
      <c r="S13" s="444"/>
      <c r="T13" s="444"/>
      <c r="U13" s="444"/>
      <c r="V13" s="444"/>
      <c r="W13" s="445"/>
      <c r="X13" s="446"/>
    </row>
    <row r="14" spans="2:45" ht="178.5" thickBot="1" x14ac:dyDescent="0.25">
      <c r="F14" s="424" t="s">
        <v>576</v>
      </c>
      <c r="G14" s="447" t="s">
        <v>577</v>
      </c>
      <c r="H14" s="448" t="s">
        <v>578</v>
      </c>
      <c r="I14" s="449" t="s">
        <v>579</v>
      </c>
      <c r="J14" s="449" t="s">
        <v>580</v>
      </c>
      <c r="K14" s="449" t="s">
        <v>581</v>
      </c>
      <c r="L14" s="449" t="s">
        <v>582</v>
      </c>
      <c r="M14" s="449" t="s">
        <v>583</v>
      </c>
      <c r="N14" s="449" t="s">
        <v>584</v>
      </c>
      <c r="O14" s="449" t="s">
        <v>585</v>
      </c>
      <c r="P14" s="449" t="s">
        <v>586</v>
      </c>
      <c r="Q14" s="449" t="s">
        <v>587</v>
      </c>
      <c r="R14" s="449" t="s">
        <v>588</v>
      </c>
      <c r="S14" s="449" t="s">
        <v>589</v>
      </c>
      <c r="T14" s="449" t="s">
        <v>590</v>
      </c>
      <c r="U14" s="449" t="s">
        <v>591</v>
      </c>
      <c r="V14" s="449" t="s">
        <v>592</v>
      </c>
      <c r="W14" s="449" t="s">
        <v>593</v>
      </c>
      <c r="X14" s="450" t="s">
        <v>594</v>
      </c>
      <c r="Y14" s="451"/>
      <c r="Z14" s="451"/>
      <c r="AA14" s="451"/>
      <c r="AB14" s="451"/>
      <c r="AC14" s="451"/>
      <c r="AD14" s="451"/>
      <c r="AE14" s="451"/>
      <c r="AF14" s="451"/>
      <c r="AG14" s="451"/>
      <c r="AH14" s="451"/>
      <c r="AI14" s="451"/>
      <c r="AJ14" s="451"/>
      <c r="AK14" s="451"/>
      <c r="AL14" s="451"/>
      <c r="AM14" s="451"/>
      <c r="AN14" s="451"/>
      <c r="AO14" s="451"/>
      <c r="AP14" s="451"/>
      <c r="AQ14" s="451"/>
      <c r="AR14" s="451"/>
      <c r="AS14" s="451"/>
    </row>
    <row r="15" spans="2:45" x14ac:dyDescent="0.2">
      <c r="D15" s="452" t="s">
        <v>595</v>
      </c>
      <c r="E15" s="453"/>
      <c r="F15" s="454"/>
      <c r="G15" s="455">
        <v>8</v>
      </c>
      <c r="H15" s="456">
        <v>8</v>
      </c>
      <c r="I15" s="455">
        <v>8</v>
      </c>
      <c r="J15" s="457">
        <v>10</v>
      </c>
      <c r="K15" s="456">
        <v>8</v>
      </c>
      <c r="L15" s="458">
        <v>5</v>
      </c>
      <c r="M15" s="456">
        <v>8</v>
      </c>
      <c r="N15" s="457">
        <v>10</v>
      </c>
      <c r="O15" s="457">
        <v>10</v>
      </c>
      <c r="P15" s="457">
        <v>10</v>
      </c>
      <c r="Q15" s="457">
        <v>10</v>
      </c>
      <c r="R15" s="457">
        <v>10</v>
      </c>
      <c r="S15" s="459">
        <v>8</v>
      </c>
      <c r="T15" s="459">
        <v>8</v>
      </c>
      <c r="U15" s="459">
        <v>8</v>
      </c>
      <c r="V15" s="459">
        <v>8</v>
      </c>
      <c r="W15" s="459">
        <v>10</v>
      </c>
      <c r="X15" s="460"/>
    </row>
    <row r="16" spans="2:45" x14ac:dyDescent="0.2">
      <c r="D16" s="461" t="s">
        <v>596</v>
      </c>
      <c r="E16" s="462"/>
      <c r="F16" s="463"/>
      <c r="G16" s="455">
        <v>8</v>
      </c>
      <c r="H16" s="456">
        <v>8</v>
      </c>
      <c r="I16" s="456">
        <v>8</v>
      </c>
      <c r="J16" s="456">
        <v>8</v>
      </c>
      <c r="K16" s="457">
        <v>10</v>
      </c>
      <c r="L16" s="457">
        <v>10</v>
      </c>
      <c r="M16" s="456">
        <v>8</v>
      </c>
      <c r="N16" s="457">
        <v>10</v>
      </c>
      <c r="O16" s="458">
        <v>5</v>
      </c>
      <c r="P16" s="459">
        <v>8</v>
      </c>
      <c r="Q16" s="458">
        <v>5</v>
      </c>
      <c r="R16" s="458">
        <v>5</v>
      </c>
      <c r="S16" s="459">
        <v>5</v>
      </c>
      <c r="T16" s="457">
        <v>10</v>
      </c>
      <c r="U16" s="459">
        <v>8</v>
      </c>
      <c r="V16" s="459">
        <v>10</v>
      </c>
      <c r="W16" s="459">
        <v>8</v>
      </c>
      <c r="X16" s="464"/>
    </row>
    <row r="17" spans="2:24" x14ac:dyDescent="0.2">
      <c r="D17" s="461" t="s">
        <v>597</v>
      </c>
      <c r="E17" s="462"/>
      <c r="F17" s="463"/>
      <c r="G17" s="455">
        <v>8</v>
      </c>
      <c r="H17" s="456">
        <v>8</v>
      </c>
      <c r="I17" s="456">
        <v>8</v>
      </c>
      <c r="J17" s="459">
        <v>8</v>
      </c>
      <c r="K17" s="456">
        <v>8</v>
      </c>
      <c r="L17" s="458">
        <v>5</v>
      </c>
      <c r="M17" s="456">
        <v>8</v>
      </c>
      <c r="N17" s="457">
        <v>10</v>
      </c>
      <c r="O17" s="458">
        <v>5</v>
      </c>
      <c r="P17" s="459">
        <v>8</v>
      </c>
      <c r="Q17" s="458">
        <v>5</v>
      </c>
      <c r="R17" s="458">
        <v>5</v>
      </c>
      <c r="S17" s="459">
        <v>8</v>
      </c>
      <c r="T17" s="457">
        <v>10</v>
      </c>
      <c r="U17" s="459">
        <v>8</v>
      </c>
      <c r="V17" s="459">
        <v>8</v>
      </c>
      <c r="W17" s="459">
        <v>10</v>
      </c>
      <c r="X17" s="464"/>
    </row>
    <row r="18" spans="2:24" x14ac:dyDescent="0.2">
      <c r="D18" s="461" t="s">
        <v>598</v>
      </c>
      <c r="E18" s="462"/>
      <c r="F18" s="463"/>
      <c r="G18" s="455">
        <v>8</v>
      </c>
      <c r="H18" s="456">
        <v>8</v>
      </c>
      <c r="I18" s="456">
        <v>8</v>
      </c>
      <c r="J18" s="456">
        <v>8</v>
      </c>
      <c r="K18" s="459">
        <v>8</v>
      </c>
      <c r="L18" s="458">
        <v>5</v>
      </c>
      <c r="M18" s="457">
        <v>10</v>
      </c>
      <c r="N18" s="457">
        <v>10</v>
      </c>
      <c r="O18" s="458">
        <v>5</v>
      </c>
      <c r="P18" s="459">
        <v>10</v>
      </c>
      <c r="Q18" s="458">
        <v>5</v>
      </c>
      <c r="R18" s="458">
        <v>5</v>
      </c>
      <c r="S18" s="458">
        <v>5</v>
      </c>
      <c r="T18" s="458">
        <v>8</v>
      </c>
      <c r="U18" s="459">
        <v>10</v>
      </c>
      <c r="V18" s="459">
        <v>8</v>
      </c>
      <c r="W18" s="458">
        <v>5</v>
      </c>
      <c r="X18" s="464"/>
    </row>
    <row r="19" spans="2:24" x14ac:dyDescent="0.2">
      <c r="D19"/>
      <c r="E19"/>
      <c r="F19"/>
      <c r="G19"/>
      <c r="H19"/>
      <c r="I19"/>
      <c r="J19"/>
      <c r="K19"/>
      <c r="L19"/>
      <c r="M19"/>
      <c r="N19"/>
      <c r="O19"/>
      <c r="P19"/>
      <c r="Q19"/>
      <c r="R19"/>
      <c r="S19"/>
      <c r="T19"/>
      <c r="U19"/>
      <c r="V19"/>
      <c r="W19"/>
      <c r="X19"/>
    </row>
    <row r="20" spans="2:24" x14ac:dyDescent="0.2">
      <c r="D20"/>
      <c r="E20"/>
      <c r="F20"/>
      <c r="G20"/>
      <c r="H20"/>
      <c r="I20"/>
      <c r="J20"/>
      <c r="K20"/>
      <c r="L20"/>
      <c r="M20"/>
      <c r="N20"/>
      <c r="O20"/>
      <c r="P20"/>
      <c r="Q20"/>
      <c r="R20"/>
      <c r="S20"/>
      <c r="T20"/>
      <c r="U20"/>
      <c r="V20"/>
      <c r="W20"/>
      <c r="X20"/>
    </row>
    <row r="21" spans="2:24" x14ac:dyDescent="0.2">
      <c r="D21"/>
      <c r="E21"/>
      <c r="F21"/>
      <c r="G21"/>
      <c r="H21"/>
      <c r="I21"/>
      <c r="J21"/>
      <c r="K21"/>
      <c r="L21"/>
      <c r="M21"/>
      <c r="N21"/>
      <c r="O21"/>
      <c r="P21"/>
      <c r="Q21"/>
      <c r="R21"/>
      <c r="S21"/>
      <c r="T21"/>
      <c r="U21"/>
      <c r="V21"/>
      <c r="W21"/>
      <c r="X21"/>
    </row>
    <row r="23" spans="2:24" x14ac:dyDescent="0.2">
      <c r="B23" s="417" t="s">
        <v>599</v>
      </c>
    </row>
  </sheetData>
  <mergeCells count="4">
    <mergeCell ref="D15:F15"/>
    <mergeCell ref="D16:F16"/>
    <mergeCell ref="D17:F17"/>
    <mergeCell ref="D18:F18"/>
  </mergeCells>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B4B00-0B8C-4915-BFF3-585302E79E59}">
  <sheetPr>
    <tabColor theme="9" tint="0.59999389629810485"/>
  </sheetPr>
  <dimension ref="B2:R92"/>
  <sheetViews>
    <sheetView tabSelected="1" workbookViewId="0">
      <selection activeCell="H20" sqref="H20"/>
    </sheetView>
  </sheetViews>
  <sheetFormatPr defaultRowHeight="12.75" x14ac:dyDescent="0.2"/>
  <cols>
    <col min="1" max="1" width="1.42578125" style="417" customWidth="1"/>
    <col min="2" max="2" width="9" style="417" bestFit="1" customWidth="1"/>
    <col min="3" max="3" width="67.28515625" style="417" bestFit="1" customWidth="1"/>
    <col min="4" max="4" width="8.7109375" style="466" customWidth="1"/>
    <col min="5" max="5" width="8.7109375" style="466" bestFit="1" customWidth="1"/>
    <col min="6" max="6" width="8.5703125" style="466" bestFit="1" customWidth="1"/>
    <col min="7" max="7" width="7.85546875" style="466" bestFit="1" customWidth="1"/>
    <col min="8" max="10" width="5.7109375" style="466" customWidth="1"/>
    <col min="11" max="11" width="9.140625" style="417"/>
    <col min="12" max="12" width="16.85546875" style="417" bestFit="1" customWidth="1"/>
    <col min="13" max="13" width="22.42578125" style="417" bestFit="1" customWidth="1"/>
    <col min="14" max="255" width="9.140625" style="417"/>
    <col min="256" max="256" width="1.42578125" style="417" customWidth="1"/>
    <col min="257" max="257" width="9" style="417" bestFit="1" customWidth="1"/>
    <col min="258" max="258" width="67.28515625" style="417" bestFit="1" customWidth="1"/>
    <col min="259" max="259" width="13" style="417" customWidth="1"/>
    <col min="260" max="266" width="5.7109375" style="417" customWidth="1"/>
    <col min="267" max="267" width="9.140625" style="417"/>
    <col min="268" max="268" width="16.85546875" style="417" bestFit="1" customWidth="1"/>
    <col min="269" max="269" width="22.42578125" style="417" bestFit="1" customWidth="1"/>
    <col min="270" max="511" width="9.140625" style="417"/>
    <col min="512" max="512" width="1.42578125" style="417" customWidth="1"/>
    <col min="513" max="513" width="9" style="417" bestFit="1" customWidth="1"/>
    <col min="514" max="514" width="67.28515625" style="417" bestFit="1" customWidth="1"/>
    <col min="515" max="515" width="13" style="417" customWidth="1"/>
    <col min="516" max="522" width="5.7109375" style="417" customWidth="1"/>
    <col min="523" max="523" width="9.140625" style="417"/>
    <col min="524" max="524" width="16.85546875" style="417" bestFit="1" customWidth="1"/>
    <col min="525" max="525" width="22.42578125" style="417" bestFit="1" customWidth="1"/>
    <col min="526" max="767" width="9.140625" style="417"/>
    <col min="768" max="768" width="1.42578125" style="417" customWidth="1"/>
    <col min="769" max="769" width="9" style="417" bestFit="1" customWidth="1"/>
    <col min="770" max="770" width="67.28515625" style="417" bestFit="1" customWidth="1"/>
    <col min="771" max="771" width="13" style="417" customWidth="1"/>
    <col min="772" max="778" width="5.7109375" style="417" customWidth="1"/>
    <col min="779" max="779" width="9.140625" style="417"/>
    <col min="780" max="780" width="16.85546875" style="417" bestFit="1" customWidth="1"/>
    <col min="781" max="781" width="22.42578125" style="417" bestFit="1" customWidth="1"/>
    <col min="782" max="1023" width="9.140625" style="417"/>
    <col min="1024" max="1024" width="1.42578125" style="417" customWidth="1"/>
    <col min="1025" max="1025" width="9" style="417" bestFit="1" customWidth="1"/>
    <col min="1026" max="1026" width="67.28515625" style="417" bestFit="1" customWidth="1"/>
    <col min="1027" max="1027" width="13" style="417" customWidth="1"/>
    <col min="1028" max="1034" width="5.7109375" style="417" customWidth="1"/>
    <col min="1035" max="1035" width="9.140625" style="417"/>
    <col min="1036" max="1036" width="16.85546875" style="417" bestFit="1" customWidth="1"/>
    <col min="1037" max="1037" width="22.42578125" style="417" bestFit="1" customWidth="1"/>
    <col min="1038" max="1279" width="9.140625" style="417"/>
    <col min="1280" max="1280" width="1.42578125" style="417" customWidth="1"/>
    <col min="1281" max="1281" width="9" style="417" bestFit="1" customWidth="1"/>
    <col min="1282" max="1282" width="67.28515625" style="417" bestFit="1" customWidth="1"/>
    <col min="1283" max="1283" width="13" style="417" customWidth="1"/>
    <col min="1284" max="1290" width="5.7109375" style="417" customWidth="1"/>
    <col min="1291" max="1291" width="9.140625" style="417"/>
    <col min="1292" max="1292" width="16.85546875" style="417" bestFit="1" customWidth="1"/>
    <col min="1293" max="1293" width="22.42578125" style="417" bestFit="1" customWidth="1"/>
    <col min="1294" max="1535" width="9.140625" style="417"/>
    <col min="1536" max="1536" width="1.42578125" style="417" customWidth="1"/>
    <col min="1537" max="1537" width="9" style="417" bestFit="1" customWidth="1"/>
    <col min="1538" max="1538" width="67.28515625" style="417" bestFit="1" customWidth="1"/>
    <col min="1539" max="1539" width="13" style="417" customWidth="1"/>
    <col min="1540" max="1546" width="5.7109375" style="417" customWidth="1"/>
    <col min="1547" max="1547" width="9.140625" style="417"/>
    <col min="1548" max="1548" width="16.85546875" style="417" bestFit="1" customWidth="1"/>
    <col min="1549" max="1549" width="22.42578125" style="417" bestFit="1" customWidth="1"/>
    <col min="1550" max="1791" width="9.140625" style="417"/>
    <col min="1792" max="1792" width="1.42578125" style="417" customWidth="1"/>
    <col min="1793" max="1793" width="9" style="417" bestFit="1" customWidth="1"/>
    <col min="1794" max="1794" width="67.28515625" style="417" bestFit="1" customWidth="1"/>
    <col min="1795" max="1795" width="13" style="417" customWidth="1"/>
    <col min="1796" max="1802" width="5.7109375" style="417" customWidth="1"/>
    <col min="1803" max="1803" width="9.140625" style="417"/>
    <col min="1804" max="1804" width="16.85546875" style="417" bestFit="1" customWidth="1"/>
    <col min="1805" max="1805" width="22.42578125" style="417" bestFit="1" customWidth="1"/>
    <col min="1806" max="2047" width="9.140625" style="417"/>
    <col min="2048" max="2048" width="1.42578125" style="417" customWidth="1"/>
    <col min="2049" max="2049" width="9" style="417" bestFit="1" customWidth="1"/>
    <col min="2050" max="2050" width="67.28515625" style="417" bestFit="1" customWidth="1"/>
    <col min="2051" max="2051" width="13" style="417" customWidth="1"/>
    <col min="2052" max="2058" width="5.7109375" style="417" customWidth="1"/>
    <col min="2059" max="2059" width="9.140625" style="417"/>
    <col min="2060" max="2060" width="16.85546875" style="417" bestFit="1" customWidth="1"/>
    <col min="2061" max="2061" width="22.42578125" style="417" bestFit="1" customWidth="1"/>
    <col min="2062" max="2303" width="9.140625" style="417"/>
    <col min="2304" max="2304" width="1.42578125" style="417" customWidth="1"/>
    <col min="2305" max="2305" width="9" style="417" bestFit="1" customWidth="1"/>
    <col min="2306" max="2306" width="67.28515625" style="417" bestFit="1" customWidth="1"/>
    <col min="2307" max="2307" width="13" style="417" customWidth="1"/>
    <col min="2308" max="2314" width="5.7109375" style="417" customWidth="1"/>
    <col min="2315" max="2315" width="9.140625" style="417"/>
    <col min="2316" max="2316" width="16.85546875" style="417" bestFit="1" customWidth="1"/>
    <col min="2317" max="2317" width="22.42578125" style="417" bestFit="1" customWidth="1"/>
    <col min="2318" max="2559" width="9.140625" style="417"/>
    <col min="2560" max="2560" width="1.42578125" style="417" customWidth="1"/>
    <col min="2561" max="2561" width="9" style="417" bestFit="1" customWidth="1"/>
    <col min="2562" max="2562" width="67.28515625" style="417" bestFit="1" customWidth="1"/>
    <col min="2563" max="2563" width="13" style="417" customWidth="1"/>
    <col min="2564" max="2570" width="5.7109375" style="417" customWidth="1"/>
    <col min="2571" max="2571" width="9.140625" style="417"/>
    <col min="2572" max="2572" width="16.85546875" style="417" bestFit="1" customWidth="1"/>
    <col min="2573" max="2573" width="22.42578125" style="417" bestFit="1" customWidth="1"/>
    <col min="2574" max="2815" width="9.140625" style="417"/>
    <col min="2816" max="2816" width="1.42578125" style="417" customWidth="1"/>
    <col min="2817" max="2817" width="9" style="417" bestFit="1" customWidth="1"/>
    <col min="2818" max="2818" width="67.28515625" style="417" bestFit="1" customWidth="1"/>
    <col min="2819" max="2819" width="13" style="417" customWidth="1"/>
    <col min="2820" max="2826" width="5.7109375" style="417" customWidth="1"/>
    <col min="2827" max="2827" width="9.140625" style="417"/>
    <col min="2828" max="2828" width="16.85546875" style="417" bestFit="1" customWidth="1"/>
    <col min="2829" max="2829" width="22.42578125" style="417" bestFit="1" customWidth="1"/>
    <col min="2830" max="3071" width="9.140625" style="417"/>
    <col min="3072" max="3072" width="1.42578125" style="417" customWidth="1"/>
    <col min="3073" max="3073" width="9" style="417" bestFit="1" customWidth="1"/>
    <col min="3074" max="3074" width="67.28515625" style="417" bestFit="1" customWidth="1"/>
    <col min="3075" max="3075" width="13" style="417" customWidth="1"/>
    <col min="3076" max="3082" width="5.7109375" style="417" customWidth="1"/>
    <col min="3083" max="3083" width="9.140625" style="417"/>
    <col min="3084" max="3084" width="16.85546875" style="417" bestFit="1" customWidth="1"/>
    <col min="3085" max="3085" width="22.42578125" style="417" bestFit="1" customWidth="1"/>
    <col min="3086" max="3327" width="9.140625" style="417"/>
    <col min="3328" max="3328" width="1.42578125" style="417" customWidth="1"/>
    <col min="3329" max="3329" width="9" style="417" bestFit="1" customWidth="1"/>
    <col min="3330" max="3330" width="67.28515625" style="417" bestFit="1" customWidth="1"/>
    <col min="3331" max="3331" width="13" style="417" customWidth="1"/>
    <col min="3332" max="3338" width="5.7109375" style="417" customWidth="1"/>
    <col min="3339" max="3339" width="9.140625" style="417"/>
    <col min="3340" max="3340" width="16.85546875" style="417" bestFit="1" customWidth="1"/>
    <col min="3341" max="3341" width="22.42578125" style="417" bestFit="1" customWidth="1"/>
    <col min="3342" max="3583" width="9.140625" style="417"/>
    <col min="3584" max="3584" width="1.42578125" style="417" customWidth="1"/>
    <col min="3585" max="3585" width="9" style="417" bestFit="1" customWidth="1"/>
    <col min="3586" max="3586" width="67.28515625" style="417" bestFit="1" customWidth="1"/>
    <col min="3587" max="3587" width="13" style="417" customWidth="1"/>
    <col min="3588" max="3594" width="5.7109375" style="417" customWidth="1"/>
    <col min="3595" max="3595" width="9.140625" style="417"/>
    <col min="3596" max="3596" width="16.85546875" style="417" bestFit="1" customWidth="1"/>
    <col min="3597" max="3597" width="22.42578125" style="417" bestFit="1" customWidth="1"/>
    <col min="3598" max="3839" width="9.140625" style="417"/>
    <col min="3840" max="3840" width="1.42578125" style="417" customWidth="1"/>
    <col min="3841" max="3841" width="9" style="417" bestFit="1" customWidth="1"/>
    <col min="3842" max="3842" width="67.28515625" style="417" bestFit="1" customWidth="1"/>
    <col min="3843" max="3843" width="13" style="417" customWidth="1"/>
    <col min="3844" max="3850" width="5.7109375" style="417" customWidth="1"/>
    <col min="3851" max="3851" width="9.140625" style="417"/>
    <col min="3852" max="3852" width="16.85546875" style="417" bestFit="1" customWidth="1"/>
    <col min="3853" max="3853" width="22.42578125" style="417" bestFit="1" customWidth="1"/>
    <col min="3854" max="4095" width="9.140625" style="417"/>
    <col min="4096" max="4096" width="1.42578125" style="417" customWidth="1"/>
    <col min="4097" max="4097" width="9" style="417" bestFit="1" customWidth="1"/>
    <col min="4098" max="4098" width="67.28515625" style="417" bestFit="1" customWidth="1"/>
    <col min="4099" max="4099" width="13" style="417" customWidth="1"/>
    <col min="4100" max="4106" width="5.7109375" style="417" customWidth="1"/>
    <col min="4107" max="4107" width="9.140625" style="417"/>
    <col min="4108" max="4108" width="16.85546875" style="417" bestFit="1" customWidth="1"/>
    <col min="4109" max="4109" width="22.42578125" style="417" bestFit="1" customWidth="1"/>
    <col min="4110" max="4351" width="9.140625" style="417"/>
    <col min="4352" max="4352" width="1.42578125" style="417" customWidth="1"/>
    <col min="4353" max="4353" width="9" style="417" bestFit="1" customWidth="1"/>
    <col min="4354" max="4354" width="67.28515625" style="417" bestFit="1" customWidth="1"/>
    <col min="4355" max="4355" width="13" style="417" customWidth="1"/>
    <col min="4356" max="4362" width="5.7109375" style="417" customWidth="1"/>
    <col min="4363" max="4363" width="9.140625" style="417"/>
    <col min="4364" max="4364" width="16.85546875" style="417" bestFit="1" customWidth="1"/>
    <col min="4365" max="4365" width="22.42578125" style="417" bestFit="1" customWidth="1"/>
    <col min="4366" max="4607" width="9.140625" style="417"/>
    <col min="4608" max="4608" width="1.42578125" style="417" customWidth="1"/>
    <col min="4609" max="4609" width="9" style="417" bestFit="1" customWidth="1"/>
    <col min="4610" max="4610" width="67.28515625" style="417" bestFit="1" customWidth="1"/>
    <col min="4611" max="4611" width="13" style="417" customWidth="1"/>
    <col min="4612" max="4618" width="5.7109375" style="417" customWidth="1"/>
    <col min="4619" max="4619" width="9.140625" style="417"/>
    <col min="4620" max="4620" width="16.85546875" style="417" bestFit="1" customWidth="1"/>
    <col min="4621" max="4621" width="22.42578125" style="417" bestFit="1" customWidth="1"/>
    <col min="4622" max="4863" width="9.140625" style="417"/>
    <col min="4864" max="4864" width="1.42578125" style="417" customWidth="1"/>
    <col min="4865" max="4865" width="9" style="417" bestFit="1" customWidth="1"/>
    <col min="4866" max="4866" width="67.28515625" style="417" bestFit="1" customWidth="1"/>
    <col min="4867" max="4867" width="13" style="417" customWidth="1"/>
    <col min="4868" max="4874" width="5.7109375" style="417" customWidth="1"/>
    <col min="4875" max="4875" width="9.140625" style="417"/>
    <col min="4876" max="4876" width="16.85546875" style="417" bestFit="1" customWidth="1"/>
    <col min="4877" max="4877" width="22.42578125" style="417" bestFit="1" customWidth="1"/>
    <col min="4878" max="5119" width="9.140625" style="417"/>
    <col min="5120" max="5120" width="1.42578125" style="417" customWidth="1"/>
    <col min="5121" max="5121" width="9" style="417" bestFit="1" customWidth="1"/>
    <col min="5122" max="5122" width="67.28515625" style="417" bestFit="1" customWidth="1"/>
    <col min="5123" max="5123" width="13" style="417" customWidth="1"/>
    <col min="5124" max="5130" width="5.7109375" style="417" customWidth="1"/>
    <col min="5131" max="5131" width="9.140625" style="417"/>
    <col min="5132" max="5132" width="16.85546875" style="417" bestFit="1" customWidth="1"/>
    <col min="5133" max="5133" width="22.42578125" style="417" bestFit="1" customWidth="1"/>
    <col min="5134" max="5375" width="9.140625" style="417"/>
    <col min="5376" max="5376" width="1.42578125" style="417" customWidth="1"/>
    <col min="5377" max="5377" width="9" style="417" bestFit="1" customWidth="1"/>
    <col min="5378" max="5378" width="67.28515625" style="417" bestFit="1" customWidth="1"/>
    <col min="5379" max="5379" width="13" style="417" customWidth="1"/>
    <col min="5380" max="5386" width="5.7109375" style="417" customWidth="1"/>
    <col min="5387" max="5387" width="9.140625" style="417"/>
    <col min="5388" max="5388" width="16.85546875" style="417" bestFit="1" customWidth="1"/>
    <col min="5389" max="5389" width="22.42578125" style="417" bestFit="1" customWidth="1"/>
    <col min="5390" max="5631" width="9.140625" style="417"/>
    <col min="5632" max="5632" width="1.42578125" style="417" customWidth="1"/>
    <col min="5633" max="5633" width="9" style="417" bestFit="1" customWidth="1"/>
    <col min="5634" max="5634" width="67.28515625" style="417" bestFit="1" customWidth="1"/>
    <col min="5635" max="5635" width="13" style="417" customWidth="1"/>
    <col min="5636" max="5642" width="5.7109375" style="417" customWidth="1"/>
    <col min="5643" max="5643" width="9.140625" style="417"/>
    <col min="5644" max="5644" width="16.85546875" style="417" bestFit="1" customWidth="1"/>
    <col min="5645" max="5645" width="22.42578125" style="417" bestFit="1" customWidth="1"/>
    <col min="5646" max="5887" width="9.140625" style="417"/>
    <col min="5888" max="5888" width="1.42578125" style="417" customWidth="1"/>
    <col min="5889" max="5889" width="9" style="417" bestFit="1" customWidth="1"/>
    <col min="5890" max="5890" width="67.28515625" style="417" bestFit="1" customWidth="1"/>
    <col min="5891" max="5891" width="13" style="417" customWidth="1"/>
    <col min="5892" max="5898" width="5.7109375" style="417" customWidth="1"/>
    <col min="5899" max="5899" width="9.140625" style="417"/>
    <col min="5900" max="5900" width="16.85546875" style="417" bestFit="1" customWidth="1"/>
    <col min="5901" max="5901" width="22.42578125" style="417" bestFit="1" customWidth="1"/>
    <col min="5902" max="6143" width="9.140625" style="417"/>
    <col min="6144" max="6144" width="1.42578125" style="417" customWidth="1"/>
    <col min="6145" max="6145" width="9" style="417" bestFit="1" customWidth="1"/>
    <col min="6146" max="6146" width="67.28515625" style="417" bestFit="1" customWidth="1"/>
    <col min="6147" max="6147" width="13" style="417" customWidth="1"/>
    <col min="6148" max="6154" width="5.7109375" style="417" customWidth="1"/>
    <col min="6155" max="6155" width="9.140625" style="417"/>
    <col min="6156" max="6156" width="16.85546875" style="417" bestFit="1" customWidth="1"/>
    <col min="6157" max="6157" width="22.42578125" style="417" bestFit="1" customWidth="1"/>
    <col min="6158" max="6399" width="9.140625" style="417"/>
    <col min="6400" max="6400" width="1.42578125" style="417" customWidth="1"/>
    <col min="6401" max="6401" width="9" style="417" bestFit="1" customWidth="1"/>
    <col min="6402" max="6402" width="67.28515625" style="417" bestFit="1" customWidth="1"/>
    <col min="6403" max="6403" width="13" style="417" customWidth="1"/>
    <col min="6404" max="6410" width="5.7109375" style="417" customWidth="1"/>
    <col min="6411" max="6411" width="9.140625" style="417"/>
    <col min="6412" max="6412" width="16.85546875" style="417" bestFit="1" customWidth="1"/>
    <col min="6413" max="6413" width="22.42578125" style="417" bestFit="1" customWidth="1"/>
    <col min="6414" max="6655" width="9.140625" style="417"/>
    <col min="6656" max="6656" width="1.42578125" style="417" customWidth="1"/>
    <col min="6657" max="6657" width="9" style="417" bestFit="1" customWidth="1"/>
    <col min="6658" max="6658" width="67.28515625" style="417" bestFit="1" customWidth="1"/>
    <col min="6659" max="6659" width="13" style="417" customWidth="1"/>
    <col min="6660" max="6666" width="5.7109375" style="417" customWidth="1"/>
    <col min="6667" max="6667" width="9.140625" style="417"/>
    <col min="6668" max="6668" width="16.85546875" style="417" bestFit="1" customWidth="1"/>
    <col min="6669" max="6669" width="22.42578125" style="417" bestFit="1" customWidth="1"/>
    <col min="6670" max="6911" width="9.140625" style="417"/>
    <col min="6912" max="6912" width="1.42578125" style="417" customWidth="1"/>
    <col min="6913" max="6913" width="9" style="417" bestFit="1" customWidth="1"/>
    <col min="6914" max="6914" width="67.28515625" style="417" bestFit="1" customWidth="1"/>
    <col min="6915" max="6915" width="13" style="417" customWidth="1"/>
    <col min="6916" max="6922" width="5.7109375" style="417" customWidth="1"/>
    <col min="6923" max="6923" width="9.140625" style="417"/>
    <col min="6924" max="6924" width="16.85546875" style="417" bestFit="1" customWidth="1"/>
    <col min="6925" max="6925" width="22.42578125" style="417" bestFit="1" customWidth="1"/>
    <col min="6926" max="7167" width="9.140625" style="417"/>
    <col min="7168" max="7168" width="1.42578125" style="417" customWidth="1"/>
    <col min="7169" max="7169" width="9" style="417" bestFit="1" customWidth="1"/>
    <col min="7170" max="7170" width="67.28515625" style="417" bestFit="1" customWidth="1"/>
    <col min="7171" max="7171" width="13" style="417" customWidth="1"/>
    <col min="7172" max="7178" width="5.7109375" style="417" customWidth="1"/>
    <col min="7179" max="7179" width="9.140625" style="417"/>
    <col min="7180" max="7180" width="16.85546875" style="417" bestFit="1" customWidth="1"/>
    <col min="7181" max="7181" width="22.42578125" style="417" bestFit="1" customWidth="1"/>
    <col min="7182" max="7423" width="9.140625" style="417"/>
    <col min="7424" max="7424" width="1.42578125" style="417" customWidth="1"/>
    <col min="7425" max="7425" width="9" style="417" bestFit="1" customWidth="1"/>
    <col min="7426" max="7426" width="67.28515625" style="417" bestFit="1" customWidth="1"/>
    <col min="7427" max="7427" width="13" style="417" customWidth="1"/>
    <col min="7428" max="7434" width="5.7109375" style="417" customWidth="1"/>
    <col min="7435" max="7435" width="9.140625" style="417"/>
    <col min="7436" max="7436" width="16.85546875" style="417" bestFit="1" customWidth="1"/>
    <col min="7437" max="7437" width="22.42578125" style="417" bestFit="1" customWidth="1"/>
    <col min="7438" max="7679" width="9.140625" style="417"/>
    <col min="7680" max="7680" width="1.42578125" style="417" customWidth="1"/>
    <col min="7681" max="7681" width="9" style="417" bestFit="1" customWidth="1"/>
    <col min="7682" max="7682" width="67.28515625" style="417" bestFit="1" customWidth="1"/>
    <col min="7683" max="7683" width="13" style="417" customWidth="1"/>
    <col min="7684" max="7690" width="5.7109375" style="417" customWidth="1"/>
    <col min="7691" max="7691" width="9.140625" style="417"/>
    <col min="7692" max="7692" width="16.85546875" style="417" bestFit="1" customWidth="1"/>
    <col min="7693" max="7693" width="22.42578125" style="417" bestFit="1" customWidth="1"/>
    <col min="7694" max="7935" width="9.140625" style="417"/>
    <col min="7936" max="7936" width="1.42578125" style="417" customWidth="1"/>
    <col min="7937" max="7937" width="9" style="417" bestFit="1" customWidth="1"/>
    <col min="7938" max="7938" width="67.28515625" style="417" bestFit="1" customWidth="1"/>
    <col min="7939" max="7939" width="13" style="417" customWidth="1"/>
    <col min="7940" max="7946" width="5.7109375" style="417" customWidth="1"/>
    <col min="7947" max="7947" width="9.140625" style="417"/>
    <col min="7948" max="7948" width="16.85546875" style="417" bestFit="1" customWidth="1"/>
    <col min="7949" max="7949" width="22.42578125" style="417" bestFit="1" customWidth="1"/>
    <col min="7950" max="8191" width="9.140625" style="417"/>
    <col min="8192" max="8192" width="1.42578125" style="417" customWidth="1"/>
    <col min="8193" max="8193" width="9" style="417" bestFit="1" customWidth="1"/>
    <col min="8194" max="8194" width="67.28515625" style="417" bestFit="1" customWidth="1"/>
    <col min="8195" max="8195" width="13" style="417" customWidth="1"/>
    <col min="8196" max="8202" width="5.7109375" style="417" customWidth="1"/>
    <col min="8203" max="8203" width="9.140625" style="417"/>
    <col min="8204" max="8204" width="16.85546875" style="417" bestFit="1" customWidth="1"/>
    <col min="8205" max="8205" width="22.42578125" style="417" bestFit="1" customWidth="1"/>
    <col min="8206" max="8447" width="9.140625" style="417"/>
    <col min="8448" max="8448" width="1.42578125" style="417" customWidth="1"/>
    <col min="8449" max="8449" width="9" style="417" bestFit="1" customWidth="1"/>
    <col min="8450" max="8450" width="67.28515625" style="417" bestFit="1" customWidth="1"/>
    <col min="8451" max="8451" width="13" style="417" customWidth="1"/>
    <col min="8452" max="8458" width="5.7109375" style="417" customWidth="1"/>
    <col min="8459" max="8459" width="9.140625" style="417"/>
    <col min="8460" max="8460" width="16.85546875" style="417" bestFit="1" customWidth="1"/>
    <col min="8461" max="8461" width="22.42578125" style="417" bestFit="1" customWidth="1"/>
    <col min="8462" max="8703" width="9.140625" style="417"/>
    <col min="8704" max="8704" width="1.42578125" style="417" customWidth="1"/>
    <col min="8705" max="8705" width="9" style="417" bestFit="1" customWidth="1"/>
    <col min="8706" max="8706" width="67.28515625" style="417" bestFit="1" customWidth="1"/>
    <col min="8707" max="8707" width="13" style="417" customWidth="1"/>
    <col min="8708" max="8714" width="5.7109375" style="417" customWidth="1"/>
    <col min="8715" max="8715" width="9.140625" style="417"/>
    <col min="8716" max="8716" width="16.85546875" style="417" bestFit="1" customWidth="1"/>
    <col min="8717" max="8717" width="22.42578125" style="417" bestFit="1" customWidth="1"/>
    <col min="8718" max="8959" width="9.140625" style="417"/>
    <col min="8960" max="8960" width="1.42578125" style="417" customWidth="1"/>
    <col min="8961" max="8961" width="9" style="417" bestFit="1" customWidth="1"/>
    <col min="8962" max="8962" width="67.28515625" style="417" bestFit="1" customWidth="1"/>
    <col min="8963" max="8963" width="13" style="417" customWidth="1"/>
    <col min="8964" max="8970" width="5.7109375" style="417" customWidth="1"/>
    <col min="8971" max="8971" width="9.140625" style="417"/>
    <col min="8972" max="8972" width="16.85546875" style="417" bestFit="1" customWidth="1"/>
    <col min="8973" max="8973" width="22.42578125" style="417" bestFit="1" customWidth="1"/>
    <col min="8974" max="9215" width="9.140625" style="417"/>
    <col min="9216" max="9216" width="1.42578125" style="417" customWidth="1"/>
    <col min="9217" max="9217" width="9" style="417" bestFit="1" customWidth="1"/>
    <col min="9218" max="9218" width="67.28515625" style="417" bestFit="1" customWidth="1"/>
    <col min="9219" max="9219" width="13" style="417" customWidth="1"/>
    <col min="9220" max="9226" width="5.7109375" style="417" customWidth="1"/>
    <col min="9227" max="9227" width="9.140625" style="417"/>
    <col min="9228" max="9228" width="16.85546875" style="417" bestFit="1" customWidth="1"/>
    <col min="9229" max="9229" width="22.42578125" style="417" bestFit="1" customWidth="1"/>
    <col min="9230" max="9471" width="9.140625" style="417"/>
    <col min="9472" max="9472" width="1.42578125" style="417" customWidth="1"/>
    <col min="9473" max="9473" width="9" style="417" bestFit="1" customWidth="1"/>
    <col min="9474" max="9474" width="67.28515625" style="417" bestFit="1" customWidth="1"/>
    <col min="9475" max="9475" width="13" style="417" customWidth="1"/>
    <col min="9476" max="9482" width="5.7109375" style="417" customWidth="1"/>
    <col min="9483" max="9483" width="9.140625" style="417"/>
    <col min="9484" max="9484" width="16.85546875" style="417" bestFit="1" customWidth="1"/>
    <col min="9485" max="9485" width="22.42578125" style="417" bestFit="1" customWidth="1"/>
    <col min="9486" max="9727" width="9.140625" style="417"/>
    <col min="9728" max="9728" width="1.42578125" style="417" customWidth="1"/>
    <col min="9729" max="9729" width="9" style="417" bestFit="1" customWidth="1"/>
    <col min="9730" max="9730" width="67.28515625" style="417" bestFit="1" customWidth="1"/>
    <col min="9731" max="9731" width="13" style="417" customWidth="1"/>
    <col min="9732" max="9738" width="5.7109375" style="417" customWidth="1"/>
    <col min="9739" max="9739" width="9.140625" style="417"/>
    <col min="9740" max="9740" width="16.85546875" style="417" bestFit="1" customWidth="1"/>
    <col min="9741" max="9741" width="22.42578125" style="417" bestFit="1" customWidth="1"/>
    <col min="9742" max="9983" width="9.140625" style="417"/>
    <col min="9984" max="9984" width="1.42578125" style="417" customWidth="1"/>
    <col min="9985" max="9985" width="9" style="417" bestFit="1" customWidth="1"/>
    <col min="9986" max="9986" width="67.28515625" style="417" bestFit="1" customWidth="1"/>
    <col min="9987" max="9987" width="13" style="417" customWidth="1"/>
    <col min="9988" max="9994" width="5.7109375" style="417" customWidth="1"/>
    <col min="9995" max="9995" width="9.140625" style="417"/>
    <col min="9996" max="9996" width="16.85546875" style="417" bestFit="1" customWidth="1"/>
    <col min="9997" max="9997" width="22.42578125" style="417" bestFit="1" customWidth="1"/>
    <col min="9998" max="10239" width="9.140625" style="417"/>
    <col min="10240" max="10240" width="1.42578125" style="417" customWidth="1"/>
    <col min="10241" max="10241" width="9" style="417" bestFit="1" customWidth="1"/>
    <col min="10242" max="10242" width="67.28515625" style="417" bestFit="1" customWidth="1"/>
    <col min="10243" max="10243" width="13" style="417" customWidth="1"/>
    <col min="10244" max="10250" width="5.7109375" style="417" customWidth="1"/>
    <col min="10251" max="10251" width="9.140625" style="417"/>
    <col min="10252" max="10252" width="16.85546875" style="417" bestFit="1" customWidth="1"/>
    <col min="10253" max="10253" width="22.42578125" style="417" bestFit="1" customWidth="1"/>
    <col min="10254" max="10495" width="9.140625" style="417"/>
    <col min="10496" max="10496" width="1.42578125" style="417" customWidth="1"/>
    <col min="10497" max="10497" width="9" style="417" bestFit="1" customWidth="1"/>
    <col min="10498" max="10498" width="67.28515625" style="417" bestFit="1" customWidth="1"/>
    <col min="10499" max="10499" width="13" style="417" customWidth="1"/>
    <col min="10500" max="10506" width="5.7109375" style="417" customWidth="1"/>
    <col min="10507" max="10507" width="9.140625" style="417"/>
    <col min="10508" max="10508" width="16.85546875" style="417" bestFit="1" customWidth="1"/>
    <col min="10509" max="10509" width="22.42578125" style="417" bestFit="1" customWidth="1"/>
    <col min="10510" max="10751" width="9.140625" style="417"/>
    <col min="10752" max="10752" width="1.42578125" style="417" customWidth="1"/>
    <col min="10753" max="10753" width="9" style="417" bestFit="1" customWidth="1"/>
    <col min="10754" max="10754" width="67.28515625" style="417" bestFit="1" customWidth="1"/>
    <col min="10755" max="10755" width="13" style="417" customWidth="1"/>
    <col min="10756" max="10762" width="5.7109375" style="417" customWidth="1"/>
    <col min="10763" max="10763" width="9.140625" style="417"/>
    <col min="10764" max="10764" width="16.85546875" style="417" bestFit="1" customWidth="1"/>
    <col min="10765" max="10765" width="22.42578125" style="417" bestFit="1" customWidth="1"/>
    <col min="10766" max="11007" width="9.140625" style="417"/>
    <col min="11008" max="11008" width="1.42578125" style="417" customWidth="1"/>
    <col min="11009" max="11009" width="9" style="417" bestFit="1" customWidth="1"/>
    <col min="11010" max="11010" width="67.28515625" style="417" bestFit="1" customWidth="1"/>
    <col min="11011" max="11011" width="13" style="417" customWidth="1"/>
    <col min="11012" max="11018" width="5.7109375" style="417" customWidth="1"/>
    <col min="11019" max="11019" width="9.140625" style="417"/>
    <col min="11020" max="11020" width="16.85546875" style="417" bestFit="1" customWidth="1"/>
    <col min="11021" max="11021" width="22.42578125" style="417" bestFit="1" customWidth="1"/>
    <col min="11022" max="11263" width="9.140625" style="417"/>
    <col min="11264" max="11264" width="1.42578125" style="417" customWidth="1"/>
    <col min="11265" max="11265" width="9" style="417" bestFit="1" customWidth="1"/>
    <col min="11266" max="11266" width="67.28515625" style="417" bestFit="1" customWidth="1"/>
    <col min="11267" max="11267" width="13" style="417" customWidth="1"/>
    <col min="11268" max="11274" width="5.7109375" style="417" customWidth="1"/>
    <col min="11275" max="11275" width="9.140625" style="417"/>
    <col min="11276" max="11276" width="16.85546875" style="417" bestFit="1" customWidth="1"/>
    <col min="11277" max="11277" width="22.42578125" style="417" bestFit="1" customWidth="1"/>
    <col min="11278" max="11519" width="9.140625" style="417"/>
    <col min="11520" max="11520" width="1.42578125" style="417" customWidth="1"/>
    <col min="11521" max="11521" width="9" style="417" bestFit="1" customWidth="1"/>
    <col min="11522" max="11522" width="67.28515625" style="417" bestFit="1" customWidth="1"/>
    <col min="11523" max="11523" width="13" style="417" customWidth="1"/>
    <col min="11524" max="11530" width="5.7109375" style="417" customWidth="1"/>
    <col min="11531" max="11531" width="9.140625" style="417"/>
    <col min="11532" max="11532" width="16.85546875" style="417" bestFit="1" customWidth="1"/>
    <col min="11533" max="11533" width="22.42578125" style="417" bestFit="1" customWidth="1"/>
    <col min="11534" max="11775" width="9.140625" style="417"/>
    <col min="11776" max="11776" width="1.42578125" style="417" customWidth="1"/>
    <col min="11777" max="11777" width="9" style="417" bestFit="1" customWidth="1"/>
    <col min="11778" max="11778" width="67.28515625" style="417" bestFit="1" customWidth="1"/>
    <col min="11779" max="11779" width="13" style="417" customWidth="1"/>
    <col min="11780" max="11786" width="5.7109375" style="417" customWidth="1"/>
    <col min="11787" max="11787" width="9.140625" style="417"/>
    <col min="11788" max="11788" width="16.85546875" style="417" bestFit="1" customWidth="1"/>
    <col min="11789" max="11789" width="22.42578125" style="417" bestFit="1" customWidth="1"/>
    <col min="11790" max="12031" width="9.140625" style="417"/>
    <col min="12032" max="12032" width="1.42578125" style="417" customWidth="1"/>
    <col min="12033" max="12033" width="9" style="417" bestFit="1" customWidth="1"/>
    <col min="12034" max="12034" width="67.28515625" style="417" bestFit="1" customWidth="1"/>
    <col min="12035" max="12035" width="13" style="417" customWidth="1"/>
    <col min="12036" max="12042" width="5.7109375" style="417" customWidth="1"/>
    <col min="12043" max="12043" width="9.140625" style="417"/>
    <col min="12044" max="12044" width="16.85546875" style="417" bestFit="1" customWidth="1"/>
    <col min="12045" max="12045" width="22.42578125" style="417" bestFit="1" customWidth="1"/>
    <col min="12046" max="12287" width="9.140625" style="417"/>
    <col min="12288" max="12288" width="1.42578125" style="417" customWidth="1"/>
    <col min="12289" max="12289" width="9" style="417" bestFit="1" customWidth="1"/>
    <col min="12290" max="12290" width="67.28515625" style="417" bestFit="1" customWidth="1"/>
    <col min="12291" max="12291" width="13" style="417" customWidth="1"/>
    <col min="12292" max="12298" width="5.7109375" style="417" customWidth="1"/>
    <col min="12299" max="12299" width="9.140625" style="417"/>
    <col min="12300" max="12300" width="16.85546875" style="417" bestFit="1" customWidth="1"/>
    <col min="12301" max="12301" width="22.42578125" style="417" bestFit="1" customWidth="1"/>
    <col min="12302" max="12543" width="9.140625" style="417"/>
    <col min="12544" max="12544" width="1.42578125" style="417" customWidth="1"/>
    <col min="12545" max="12545" width="9" style="417" bestFit="1" customWidth="1"/>
    <col min="12546" max="12546" width="67.28515625" style="417" bestFit="1" customWidth="1"/>
    <col min="12547" max="12547" width="13" style="417" customWidth="1"/>
    <col min="12548" max="12554" width="5.7109375" style="417" customWidth="1"/>
    <col min="12555" max="12555" width="9.140625" style="417"/>
    <col min="12556" max="12556" width="16.85546875" style="417" bestFit="1" customWidth="1"/>
    <col min="12557" max="12557" width="22.42578125" style="417" bestFit="1" customWidth="1"/>
    <col min="12558" max="12799" width="9.140625" style="417"/>
    <col min="12800" max="12800" width="1.42578125" style="417" customWidth="1"/>
    <col min="12801" max="12801" width="9" style="417" bestFit="1" customWidth="1"/>
    <col min="12802" max="12802" width="67.28515625" style="417" bestFit="1" customWidth="1"/>
    <col min="12803" max="12803" width="13" style="417" customWidth="1"/>
    <col min="12804" max="12810" width="5.7109375" style="417" customWidth="1"/>
    <col min="12811" max="12811" width="9.140625" style="417"/>
    <col min="12812" max="12812" width="16.85546875" style="417" bestFit="1" customWidth="1"/>
    <col min="12813" max="12813" width="22.42578125" style="417" bestFit="1" customWidth="1"/>
    <col min="12814" max="13055" width="9.140625" style="417"/>
    <col min="13056" max="13056" width="1.42578125" style="417" customWidth="1"/>
    <col min="13057" max="13057" width="9" style="417" bestFit="1" customWidth="1"/>
    <col min="13058" max="13058" width="67.28515625" style="417" bestFit="1" customWidth="1"/>
    <col min="13059" max="13059" width="13" style="417" customWidth="1"/>
    <col min="13060" max="13066" width="5.7109375" style="417" customWidth="1"/>
    <col min="13067" max="13067" width="9.140625" style="417"/>
    <col min="13068" max="13068" width="16.85546875" style="417" bestFit="1" customWidth="1"/>
    <col min="13069" max="13069" width="22.42578125" style="417" bestFit="1" customWidth="1"/>
    <col min="13070" max="13311" width="9.140625" style="417"/>
    <col min="13312" max="13312" width="1.42578125" style="417" customWidth="1"/>
    <col min="13313" max="13313" width="9" style="417" bestFit="1" customWidth="1"/>
    <col min="13314" max="13314" width="67.28515625" style="417" bestFit="1" customWidth="1"/>
    <col min="13315" max="13315" width="13" style="417" customWidth="1"/>
    <col min="13316" max="13322" width="5.7109375" style="417" customWidth="1"/>
    <col min="13323" max="13323" width="9.140625" style="417"/>
    <col min="13324" max="13324" width="16.85546875" style="417" bestFit="1" customWidth="1"/>
    <col min="13325" max="13325" width="22.42578125" style="417" bestFit="1" customWidth="1"/>
    <col min="13326" max="13567" width="9.140625" style="417"/>
    <col min="13568" max="13568" width="1.42578125" style="417" customWidth="1"/>
    <col min="13569" max="13569" width="9" style="417" bestFit="1" customWidth="1"/>
    <col min="13570" max="13570" width="67.28515625" style="417" bestFit="1" customWidth="1"/>
    <col min="13571" max="13571" width="13" style="417" customWidth="1"/>
    <col min="13572" max="13578" width="5.7109375" style="417" customWidth="1"/>
    <col min="13579" max="13579" width="9.140625" style="417"/>
    <col min="13580" max="13580" width="16.85546875" style="417" bestFit="1" customWidth="1"/>
    <col min="13581" max="13581" width="22.42578125" style="417" bestFit="1" customWidth="1"/>
    <col min="13582" max="13823" width="9.140625" style="417"/>
    <col min="13824" max="13824" width="1.42578125" style="417" customWidth="1"/>
    <col min="13825" max="13825" width="9" style="417" bestFit="1" customWidth="1"/>
    <col min="13826" max="13826" width="67.28515625" style="417" bestFit="1" customWidth="1"/>
    <col min="13827" max="13827" width="13" style="417" customWidth="1"/>
    <col min="13828" max="13834" width="5.7109375" style="417" customWidth="1"/>
    <col min="13835" max="13835" width="9.140625" style="417"/>
    <col min="13836" max="13836" width="16.85546875" style="417" bestFit="1" customWidth="1"/>
    <col min="13837" max="13837" width="22.42578125" style="417" bestFit="1" customWidth="1"/>
    <col min="13838" max="14079" width="9.140625" style="417"/>
    <col min="14080" max="14080" width="1.42578125" style="417" customWidth="1"/>
    <col min="14081" max="14081" width="9" style="417" bestFit="1" customWidth="1"/>
    <col min="14082" max="14082" width="67.28515625" style="417" bestFit="1" customWidth="1"/>
    <col min="14083" max="14083" width="13" style="417" customWidth="1"/>
    <col min="14084" max="14090" width="5.7109375" style="417" customWidth="1"/>
    <col min="14091" max="14091" width="9.140625" style="417"/>
    <col min="14092" max="14092" width="16.85546875" style="417" bestFit="1" customWidth="1"/>
    <col min="14093" max="14093" width="22.42578125" style="417" bestFit="1" customWidth="1"/>
    <col min="14094" max="14335" width="9.140625" style="417"/>
    <col min="14336" max="14336" width="1.42578125" style="417" customWidth="1"/>
    <col min="14337" max="14337" width="9" style="417" bestFit="1" customWidth="1"/>
    <col min="14338" max="14338" width="67.28515625" style="417" bestFit="1" customWidth="1"/>
    <col min="14339" max="14339" width="13" style="417" customWidth="1"/>
    <col min="14340" max="14346" width="5.7109375" style="417" customWidth="1"/>
    <col min="14347" max="14347" width="9.140625" style="417"/>
    <col min="14348" max="14348" width="16.85546875" style="417" bestFit="1" customWidth="1"/>
    <col min="14349" max="14349" width="22.42578125" style="417" bestFit="1" customWidth="1"/>
    <col min="14350" max="14591" width="9.140625" style="417"/>
    <col min="14592" max="14592" width="1.42578125" style="417" customWidth="1"/>
    <col min="14593" max="14593" width="9" style="417" bestFit="1" customWidth="1"/>
    <col min="14594" max="14594" width="67.28515625" style="417" bestFit="1" customWidth="1"/>
    <col min="14595" max="14595" width="13" style="417" customWidth="1"/>
    <col min="14596" max="14602" width="5.7109375" style="417" customWidth="1"/>
    <col min="14603" max="14603" width="9.140625" style="417"/>
    <col min="14604" max="14604" width="16.85546875" style="417" bestFit="1" customWidth="1"/>
    <col min="14605" max="14605" width="22.42578125" style="417" bestFit="1" customWidth="1"/>
    <col min="14606" max="14847" width="9.140625" style="417"/>
    <col min="14848" max="14848" width="1.42578125" style="417" customWidth="1"/>
    <col min="14849" max="14849" width="9" style="417" bestFit="1" customWidth="1"/>
    <col min="14850" max="14850" width="67.28515625" style="417" bestFit="1" customWidth="1"/>
    <col min="14851" max="14851" width="13" style="417" customWidth="1"/>
    <col min="14852" max="14858" width="5.7109375" style="417" customWidth="1"/>
    <col min="14859" max="14859" width="9.140625" style="417"/>
    <col min="14860" max="14860" width="16.85546875" style="417" bestFit="1" customWidth="1"/>
    <col min="14861" max="14861" width="22.42578125" style="417" bestFit="1" customWidth="1"/>
    <col min="14862" max="15103" width="9.140625" style="417"/>
    <col min="15104" max="15104" width="1.42578125" style="417" customWidth="1"/>
    <col min="15105" max="15105" width="9" style="417" bestFit="1" customWidth="1"/>
    <col min="15106" max="15106" width="67.28515625" style="417" bestFit="1" customWidth="1"/>
    <col min="15107" max="15107" width="13" style="417" customWidth="1"/>
    <col min="15108" max="15114" width="5.7109375" style="417" customWidth="1"/>
    <col min="15115" max="15115" width="9.140625" style="417"/>
    <col min="15116" max="15116" width="16.85546875" style="417" bestFit="1" customWidth="1"/>
    <col min="15117" max="15117" width="22.42578125" style="417" bestFit="1" customWidth="1"/>
    <col min="15118" max="15359" width="9.140625" style="417"/>
    <col min="15360" max="15360" width="1.42578125" style="417" customWidth="1"/>
    <col min="15361" max="15361" width="9" style="417" bestFit="1" customWidth="1"/>
    <col min="15362" max="15362" width="67.28515625" style="417" bestFit="1" customWidth="1"/>
    <col min="15363" max="15363" width="13" style="417" customWidth="1"/>
    <col min="15364" max="15370" width="5.7109375" style="417" customWidth="1"/>
    <col min="15371" max="15371" width="9.140625" style="417"/>
    <col min="15372" max="15372" width="16.85546875" style="417" bestFit="1" customWidth="1"/>
    <col min="15373" max="15373" width="22.42578125" style="417" bestFit="1" customWidth="1"/>
    <col min="15374" max="15615" width="9.140625" style="417"/>
    <col min="15616" max="15616" width="1.42578125" style="417" customWidth="1"/>
    <col min="15617" max="15617" width="9" style="417" bestFit="1" customWidth="1"/>
    <col min="15618" max="15618" width="67.28515625" style="417" bestFit="1" customWidth="1"/>
    <col min="15619" max="15619" width="13" style="417" customWidth="1"/>
    <col min="15620" max="15626" width="5.7109375" style="417" customWidth="1"/>
    <col min="15627" max="15627" width="9.140625" style="417"/>
    <col min="15628" max="15628" width="16.85546875" style="417" bestFit="1" customWidth="1"/>
    <col min="15629" max="15629" width="22.42578125" style="417" bestFit="1" customWidth="1"/>
    <col min="15630" max="15871" width="9.140625" style="417"/>
    <col min="15872" max="15872" width="1.42578125" style="417" customWidth="1"/>
    <col min="15873" max="15873" width="9" style="417" bestFit="1" customWidth="1"/>
    <col min="15874" max="15874" width="67.28515625" style="417" bestFit="1" customWidth="1"/>
    <col min="15875" max="15875" width="13" style="417" customWidth="1"/>
    <col min="15876" max="15882" width="5.7109375" style="417" customWidth="1"/>
    <col min="15883" max="15883" width="9.140625" style="417"/>
    <col min="15884" max="15884" width="16.85546875" style="417" bestFit="1" customWidth="1"/>
    <col min="15885" max="15885" width="22.42578125" style="417" bestFit="1" customWidth="1"/>
    <col min="15886" max="16127" width="9.140625" style="417"/>
    <col min="16128" max="16128" width="1.42578125" style="417" customWidth="1"/>
    <col min="16129" max="16129" width="9" style="417" bestFit="1" customWidth="1"/>
    <col min="16130" max="16130" width="67.28515625" style="417" bestFit="1" customWidth="1"/>
    <col min="16131" max="16131" width="13" style="417" customWidth="1"/>
    <col min="16132" max="16138" width="5.7109375" style="417" customWidth="1"/>
    <col min="16139" max="16139" width="9.140625" style="417"/>
    <col min="16140" max="16140" width="16.85546875" style="417" bestFit="1" customWidth="1"/>
    <col min="16141" max="16141" width="22.42578125" style="417" bestFit="1" customWidth="1"/>
    <col min="16142" max="16384" width="9.140625" style="417"/>
  </cols>
  <sheetData>
    <row r="2" spans="2:17" ht="19.5" x14ac:dyDescent="0.3">
      <c r="B2" s="465" t="s">
        <v>600</v>
      </c>
    </row>
    <row r="3" spans="2:17" ht="13.5" thickBot="1" x14ac:dyDescent="0.25">
      <c r="C3" s="467"/>
    </row>
    <row r="4" spans="2:17" ht="13.5" thickBot="1" x14ac:dyDescent="0.25">
      <c r="D4" s="468" t="s">
        <v>601</v>
      </c>
      <c r="E4" s="469"/>
      <c r="F4" s="469"/>
      <c r="G4" s="469"/>
      <c r="H4" s="469"/>
      <c r="I4" s="469"/>
      <c r="J4" s="470"/>
    </row>
    <row r="5" spans="2:17" ht="17.25" thickTop="1" thickBot="1" x14ac:dyDescent="0.3">
      <c r="B5" s="471" t="s">
        <v>0</v>
      </c>
      <c r="C5" s="472" t="s">
        <v>602</v>
      </c>
      <c r="D5" s="473" t="s">
        <v>603</v>
      </c>
      <c r="E5" s="473" t="s">
        <v>604</v>
      </c>
      <c r="F5" s="473" t="s">
        <v>605</v>
      </c>
      <c r="G5" s="473" t="s">
        <v>606</v>
      </c>
      <c r="H5"/>
      <c r="I5"/>
      <c r="J5"/>
      <c r="K5"/>
    </row>
    <row r="6" spans="2:17" ht="15.95" customHeight="1" x14ac:dyDescent="0.2">
      <c r="B6" s="474">
        <v>1</v>
      </c>
      <c r="C6" s="475" t="s">
        <v>12</v>
      </c>
      <c r="D6" s="476" t="s">
        <v>607</v>
      </c>
      <c r="E6" s="477" t="s">
        <v>201</v>
      </c>
      <c r="F6" s="477" t="s">
        <v>201</v>
      </c>
      <c r="G6" s="477" t="s">
        <v>201</v>
      </c>
      <c r="H6"/>
      <c r="I6"/>
      <c r="J6"/>
    </row>
    <row r="7" spans="2:17" ht="15.95" customHeight="1" x14ac:dyDescent="0.2">
      <c r="B7" s="474" t="s">
        <v>11</v>
      </c>
      <c r="C7" s="475" t="s">
        <v>587</v>
      </c>
      <c r="D7" s="476" t="s">
        <v>607</v>
      </c>
      <c r="E7" s="477" t="s">
        <v>201</v>
      </c>
      <c r="F7" s="477" t="s">
        <v>201</v>
      </c>
      <c r="G7" s="477" t="s">
        <v>201</v>
      </c>
      <c r="H7"/>
      <c r="I7"/>
      <c r="J7"/>
      <c r="L7" s="423" t="s">
        <v>608</v>
      </c>
    </row>
    <row r="8" spans="2:17" ht="15.95" customHeight="1" x14ac:dyDescent="0.2">
      <c r="B8" s="474" t="s">
        <v>14</v>
      </c>
      <c r="C8" s="475" t="s">
        <v>609</v>
      </c>
      <c r="D8" s="476" t="s">
        <v>607</v>
      </c>
      <c r="E8" s="477" t="s">
        <v>226</v>
      </c>
      <c r="F8" s="477" t="s">
        <v>226</v>
      </c>
      <c r="G8" s="477" t="s">
        <v>226</v>
      </c>
      <c r="H8"/>
      <c r="I8"/>
      <c r="J8"/>
    </row>
    <row r="9" spans="2:17" ht="15.95" customHeight="1" x14ac:dyDescent="0.2">
      <c r="B9" s="474" t="s">
        <v>15</v>
      </c>
      <c r="C9" s="475" t="s">
        <v>610</v>
      </c>
      <c r="D9" s="476" t="s">
        <v>607</v>
      </c>
      <c r="E9" s="477" t="s">
        <v>198</v>
      </c>
      <c r="F9" s="477" t="s">
        <v>198</v>
      </c>
      <c r="G9" s="477" t="s">
        <v>226</v>
      </c>
      <c r="H9"/>
      <c r="I9"/>
      <c r="J9"/>
      <c r="L9" s="467" t="s">
        <v>611</v>
      </c>
    </row>
    <row r="10" spans="2:17" ht="15.95" customHeight="1" x14ac:dyDescent="0.2">
      <c r="B10" s="474" t="s">
        <v>612</v>
      </c>
      <c r="C10" s="475" t="s">
        <v>613</v>
      </c>
      <c r="D10" s="476" t="s">
        <v>607</v>
      </c>
      <c r="E10" s="477" t="s">
        <v>226</v>
      </c>
      <c r="F10" s="477" t="s">
        <v>226</v>
      </c>
      <c r="G10" s="477" t="s">
        <v>230</v>
      </c>
      <c r="H10"/>
      <c r="I10"/>
      <c r="J10"/>
      <c r="L10" s="467" t="s">
        <v>614</v>
      </c>
    </row>
    <row r="11" spans="2:17" ht="15.95" customHeight="1" x14ac:dyDescent="0.2">
      <c r="B11" s="474" t="s">
        <v>615</v>
      </c>
      <c r="C11" s="475" t="s">
        <v>616</v>
      </c>
      <c r="D11" s="476" t="s">
        <v>607</v>
      </c>
      <c r="E11" s="477" t="s">
        <v>201</v>
      </c>
      <c r="F11" s="477" t="s">
        <v>201</v>
      </c>
      <c r="G11" s="477" t="s">
        <v>212</v>
      </c>
      <c r="H11"/>
      <c r="I11"/>
      <c r="J11"/>
      <c r="L11" s="467" t="s">
        <v>617</v>
      </c>
    </row>
    <row r="12" spans="2:17" ht="15.95" customHeight="1" x14ac:dyDescent="0.2">
      <c r="B12" s="474" t="s">
        <v>618</v>
      </c>
      <c r="C12" s="475" t="s">
        <v>619</v>
      </c>
      <c r="D12" s="476" t="s">
        <v>607</v>
      </c>
      <c r="E12" s="477" t="s">
        <v>201</v>
      </c>
      <c r="F12" s="477" t="s">
        <v>212</v>
      </c>
      <c r="G12" s="477" t="s">
        <v>201</v>
      </c>
      <c r="H12"/>
      <c r="I12"/>
      <c r="J12"/>
      <c r="L12" s="467" t="s">
        <v>620</v>
      </c>
      <c r="N12" s="466"/>
      <c r="O12" s="466"/>
      <c r="P12" s="466"/>
      <c r="Q12" s="466"/>
    </row>
    <row r="13" spans="2:17" ht="15.95" customHeight="1" x14ac:dyDescent="0.2">
      <c r="B13" s="474" t="s">
        <v>621</v>
      </c>
      <c r="C13" s="475" t="s">
        <v>622</v>
      </c>
      <c r="D13" s="476" t="s">
        <v>607</v>
      </c>
      <c r="E13" s="477" t="s">
        <v>201</v>
      </c>
      <c r="F13" s="477" t="s">
        <v>201</v>
      </c>
      <c r="G13" s="477" t="s">
        <v>212</v>
      </c>
      <c r="H13"/>
      <c r="I13"/>
      <c r="J13"/>
      <c r="L13" s="467" t="s">
        <v>623</v>
      </c>
      <c r="N13" s="466"/>
      <c r="O13" s="466"/>
      <c r="P13" s="466"/>
      <c r="Q13" s="466"/>
    </row>
    <row r="14" spans="2:17" ht="15.95" customHeight="1" x14ac:dyDescent="0.2">
      <c r="B14" s="474" t="s">
        <v>624</v>
      </c>
      <c r="C14" s="475" t="s">
        <v>625</v>
      </c>
      <c r="D14" s="476" t="s">
        <v>607</v>
      </c>
      <c r="E14" s="477" t="s">
        <v>201</v>
      </c>
      <c r="F14" s="477" t="s">
        <v>201</v>
      </c>
      <c r="G14" s="477" t="s">
        <v>201</v>
      </c>
      <c r="H14"/>
      <c r="I14"/>
      <c r="J14"/>
    </row>
    <row r="15" spans="2:17" ht="15.95" customHeight="1" x14ac:dyDescent="0.2">
      <c r="B15" s="474" t="s">
        <v>626</v>
      </c>
      <c r="C15" s="475" t="s">
        <v>627</v>
      </c>
      <c r="D15" s="476" t="s">
        <v>607</v>
      </c>
      <c r="E15" s="477" t="s">
        <v>198</v>
      </c>
      <c r="F15" s="477" t="s">
        <v>198</v>
      </c>
      <c r="G15" s="477" t="s">
        <v>198</v>
      </c>
      <c r="H15"/>
      <c r="I15"/>
      <c r="J15"/>
    </row>
    <row r="16" spans="2:17" ht="15.95" customHeight="1" x14ac:dyDescent="0.2">
      <c r="B16" s="474" t="s">
        <v>628</v>
      </c>
      <c r="C16" s="475" t="s">
        <v>629</v>
      </c>
      <c r="D16" s="476" t="s">
        <v>607</v>
      </c>
      <c r="E16" s="477" t="s">
        <v>201</v>
      </c>
      <c r="F16" s="477" t="s">
        <v>212</v>
      </c>
      <c r="G16" s="477" t="s">
        <v>212</v>
      </c>
      <c r="H16"/>
      <c r="I16"/>
      <c r="J16"/>
    </row>
    <row r="17" spans="2:18" ht="15.95" customHeight="1" x14ac:dyDescent="0.2">
      <c r="B17" s="474" t="s">
        <v>630</v>
      </c>
      <c r="C17" s="475" t="s">
        <v>631</v>
      </c>
      <c r="D17" s="476" t="s">
        <v>607</v>
      </c>
      <c r="E17" s="477" t="s">
        <v>198</v>
      </c>
      <c r="F17" s="477" t="s">
        <v>198</v>
      </c>
      <c r="G17" s="477" t="s">
        <v>212</v>
      </c>
      <c r="H17"/>
      <c r="I17"/>
      <c r="J17"/>
    </row>
    <row r="18" spans="2:18" ht="15.95" customHeight="1" x14ac:dyDescent="0.2">
      <c r="B18" s="474" t="s">
        <v>632</v>
      </c>
      <c r="C18" s="475" t="s">
        <v>633</v>
      </c>
      <c r="D18" s="476" t="s">
        <v>607</v>
      </c>
      <c r="E18" s="477" t="s">
        <v>201</v>
      </c>
      <c r="F18" s="477" t="s">
        <v>201</v>
      </c>
      <c r="G18" s="477" t="s">
        <v>201</v>
      </c>
      <c r="H18"/>
      <c r="I18"/>
      <c r="J18"/>
    </row>
    <row r="19" spans="2:18" ht="15.95" customHeight="1" thickBot="1" x14ac:dyDescent="0.25">
      <c r="B19" s="474" t="s">
        <v>634</v>
      </c>
      <c r="C19" s="475" t="s">
        <v>589</v>
      </c>
      <c r="D19" s="476" t="s">
        <v>607</v>
      </c>
      <c r="E19" s="477" t="s">
        <v>226</v>
      </c>
      <c r="F19" s="477" t="s">
        <v>201</v>
      </c>
      <c r="G19" s="477" t="s">
        <v>226</v>
      </c>
      <c r="H19"/>
      <c r="I19"/>
      <c r="J19"/>
    </row>
    <row r="20" spans="2:18" ht="16.5" thickBot="1" x14ac:dyDescent="0.25">
      <c r="B20" s="474" t="s">
        <v>635</v>
      </c>
      <c r="C20" s="475" t="s">
        <v>636</v>
      </c>
      <c r="D20" s="476" t="s">
        <v>607</v>
      </c>
      <c r="E20" s="477" t="s">
        <v>198</v>
      </c>
      <c r="F20" s="477" t="s">
        <v>201</v>
      </c>
      <c r="G20" s="477" t="s">
        <v>230</v>
      </c>
      <c r="H20"/>
      <c r="I20"/>
      <c r="J20"/>
      <c r="L20" s="478" t="s">
        <v>637</v>
      </c>
      <c r="M20" s="479"/>
      <c r="R20" s="466"/>
    </row>
    <row r="21" spans="2:18" ht="13.5" thickBot="1" x14ac:dyDescent="0.25">
      <c r="B21"/>
      <c r="C21"/>
      <c r="D21"/>
      <c r="E21"/>
      <c r="F21"/>
      <c r="G21"/>
      <c r="H21"/>
      <c r="I21"/>
      <c r="J21"/>
      <c r="L21" s="480" t="s">
        <v>554</v>
      </c>
      <c r="M21" s="481" t="s">
        <v>463</v>
      </c>
      <c r="R21" s="466"/>
    </row>
    <row r="22" spans="2:18" s="466" customFormat="1" ht="13.5" thickBot="1" x14ac:dyDescent="0.25">
      <c r="B22"/>
      <c r="C22"/>
      <c r="D22"/>
      <c r="E22"/>
      <c r="F22"/>
      <c r="G22"/>
      <c r="H22"/>
      <c r="I22"/>
      <c r="J22"/>
      <c r="L22" s="480" t="s">
        <v>638</v>
      </c>
      <c r="M22" s="482" t="s">
        <v>639</v>
      </c>
      <c r="N22" s="417"/>
      <c r="O22" s="417"/>
      <c r="P22" s="417"/>
      <c r="Q22" s="417"/>
    </row>
    <row r="23" spans="2:18" s="466" customFormat="1" ht="13.5" thickBot="1" x14ac:dyDescent="0.25">
      <c r="B23"/>
      <c r="C23"/>
      <c r="D23"/>
      <c r="E23"/>
      <c r="F23"/>
      <c r="G23"/>
      <c r="H23"/>
      <c r="I23"/>
      <c r="J23"/>
      <c r="L23" s="480" t="s">
        <v>558</v>
      </c>
      <c r="M23" s="481" t="s">
        <v>559</v>
      </c>
      <c r="N23" s="417"/>
      <c r="O23" s="417"/>
      <c r="P23" s="417"/>
      <c r="Q23" s="417"/>
    </row>
    <row r="24" spans="2:18" s="466" customFormat="1" ht="13.5" thickBot="1" x14ac:dyDescent="0.25">
      <c r="B24"/>
      <c r="C24"/>
      <c r="D24"/>
      <c r="E24"/>
      <c r="F24"/>
      <c r="G24"/>
      <c r="H24"/>
      <c r="I24"/>
      <c r="J24"/>
      <c r="L24" s="480" t="s">
        <v>561</v>
      </c>
      <c r="M24" s="482" t="s">
        <v>640</v>
      </c>
      <c r="N24" s="417"/>
      <c r="O24" s="417"/>
      <c r="P24" s="417"/>
      <c r="Q24" s="417"/>
    </row>
    <row r="25" spans="2:18" s="466" customFormat="1" x14ac:dyDescent="0.2">
      <c r="B25"/>
      <c r="C25"/>
      <c r="D25"/>
      <c r="E25"/>
      <c r="F25"/>
      <c r="G25"/>
      <c r="H25"/>
      <c r="I25"/>
      <c r="J25"/>
      <c r="L25"/>
      <c r="M25"/>
      <c r="N25" s="417"/>
      <c r="O25" s="417"/>
      <c r="P25" s="417"/>
      <c r="Q25" s="417"/>
    </row>
    <row r="26" spans="2:18" s="466" customFormat="1" x14ac:dyDescent="0.2">
      <c r="B26"/>
      <c r="C26"/>
      <c r="D26"/>
      <c r="E26"/>
      <c r="F26"/>
      <c r="G26"/>
      <c r="H26"/>
      <c r="I26"/>
      <c r="J26"/>
      <c r="L26"/>
      <c r="M26"/>
      <c r="N26" s="417"/>
      <c r="O26" s="417"/>
      <c r="P26" s="417"/>
      <c r="Q26" s="417"/>
      <c r="R26" s="417"/>
    </row>
    <row r="27" spans="2:18" s="466" customFormat="1" x14ac:dyDescent="0.2">
      <c r="B27"/>
      <c r="C27"/>
      <c r="D27"/>
      <c r="E27"/>
      <c r="F27"/>
      <c r="G27"/>
      <c r="H27"/>
      <c r="I27"/>
      <c r="J27"/>
      <c r="L27"/>
      <c r="M27"/>
      <c r="N27" s="417"/>
      <c r="O27" s="417"/>
      <c r="P27" s="417"/>
      <c r="Q27" s="417"/>
      <c r="R27" s="417"/>
    </row>
    <row r="28" spans="2:18" s="466" customFormat="1" x14ac:dyDescent="0.2">
      <c r="B28"/>
      <c r="C28"/>
      <c r="D28"/>
      <c r="E28"/>
      <c r="F28"/>
      <c r="G28"/>
      <c r="H28"/>
      <c r="I28"/>
      <c r="J28"/>
      <c r="L28" s="417"/>
      <c r="M28" s="417"/>
      <c r="N28" s="417"/>
      <c r="O28" s="417"/>
      <c r="P28" s="417"/>
      <c r="Q28" s="417"/>
      <c r="R28" s="417"/>
    </row>
    <row r="29" spans="2:18" x14ac:dyDescent="0.2">
      <c r="B29"/>
      <c r="C29"/>
      <c r="D29"/>
      <c r="E29"/>
      <c r="F29"/>
      <c r="G29"/>
      <c r="H29"/>
      <c r="I29"/>
      <c r="J29"/>
      <c r="L29" s="423"/>
    </row>
    <row r="30" spans="2:18" x14ac:dyDescent="0.2">
      <c r="B30"/>
      <c r="C30"/>
      <c r="D30"/>
      <c r="E30"/>
      <c r="F30"/>
      <c r="G30"/>
      <c r="H30"/>
      <c r="I30"/>
      <c r="J30"/>
    </row>
    <row r="31" spans="2:18" x14ac:dyDescent="0.2">
      <c r="B31"/>
      <c r="C31"/>
      <c r="D31"/>
      <c r="E31"/>
      <c r="F31"/>
      <c r="G31"/>
      <c r="H31"/>
      <c r="I31"/>
      <c r="J31"/>
      <c r="L31" s="467"/>
    </row>
    <row r="32" spans="2:18" x14ac:dyDescent="0.2">
      <c r="B32"/>
      <c r="C32"/>
      <c r="D32"/>
      <c r="E32"/>
      <c r="F32"/>
      <c r="G32"/>
      <c r="H32"/>
      <c r="I32"/>
      <c r="J32"/>
      <c r="L32" s="467"/>
    </row>
    <row r="33" spans="2:17" x14ac:dyDescent="0.2">
      <c r="B33"/>
      <c r="C33"/>
      <c r="D33"/>
      <c r="E33"/>
      <c r="F33"/>
      <c r="G33"/>
      <c r="H33"/>
      <c r="I33"/>
      <c r="J33"/>
      <c r="L33" s="467"/>
    </row>
    <row r="34" spans="2:17" x14ac:dyDescent="0.2">
      <c r="B34"/>
      <c r="C34"/>
      <c r="D34"/>
      <c r="E34"/>
      <c r="F34"/>
      <c r="G34"/>
      <c r="H34"/>
      <c r="I34"/>
      <c r="J34"/>
      <c r="L34" s="467"/>
      <c r="N34" s="466"/>
      <c r="O34" s="466"/>
      <c r="P34" s="466"/>
      <c r="Q34" s="466"/>
    </row>
    <row r="35" spans="2:17" x14ac:dyDescent="0.2">
      <c r="B35"/>
      <c r="C35"/>
      <c r="D35"/>
      <c r="E35"/>
      <c r="F35"/>
      <c r="G35"/>
      <c r="H35"/>
      <c r="I35"/>
      <c r="J35"/>
      <c r="L35" s="467"/>
      <c r="N35" s="466"/>
      <c r="O35" s="466"/>
      <c r="P35" s="466"/>
      <c r="Q35" s="466"/>
    </row>
    <row r="36" spans="2:17" x14ac:dyDescent="0.2">
      <c r="B36"/>
      <c r="C36"/>
      <c r="D36"/>
      <c r="E36"/>
      <c r="F36"/>
      <c r="G36"/>
      <c r="H36"/>
      <c r="I36"/>
      <c r="J36"/>
    </row>
    <row r="37" spans="2:17" x14ac:dyDescent="0.2">
      <c r="B37"/>
      <c r="C37"/>
      <c r="D37"/>
      <c r="E37"/>
      <c r="F37"/>
      <c r="G37"/>
      <c r="H37"/>
      <c r="I37"/>
      <c r="J37"/>
    </row>
    <row r="38" spans="2:17" x14ac:dyDescent="0.2">
      <c r="B38"/>
      <c r="C38"/>
      <c r="D38"/>
      <c r="E38"/>
      <c r="F38"/>
      <c r="G38"/>
      <c r="H38"/>
      <c r="I38"/>
      <c r="J38"/>
    </row>
    <row r="39" spans="2:17" x14ac:dyDescent="0.2">
      <c r="B39"/>
      <c r="C39"/>
      <c r="D39"/>
      <c r="E39"/>
      <c r="F39"/>
      <c r="G39"/>
      <c r="H39"/>
      <c r="I39"/>
      <c r="J39"/>
    </row>
    <row r="40" spans="2:17" x14ac:dyDescent="0.2">
      <c r="B40"/>
      <c r="C40"/>
      <c r="D40"/>
      <c r="E40"/>
      <c r="F40"/>
      <c r="G40"/>
      <c r="H40"/>
      <c r="I40"/>
      <c r="J40"/>
    </row>
    <row r="41" spans="2:17" x14ac:dyDescent="0.2">
      <c r="B41"/>
      <c r="C41"/>
      <c r="D41"/>
      <c r="E41"/>
      <c r="F41"/>
      <c r="G41"/>
      <c r="H41"/>
      <c r="I41"/>
      <c r="J41"/>
    </row>
    <row r="42" spans="2:17" x14ac:dyDescent="0.2">
      <c r="B42"/>
      <c r="C42"/>
      <c r="D42"/>
      <c r="E42"/>
      <c r="F42"/>
      <c r="G42"/>
      <c r="H42"/>
      <c r="I42"/>
      <c r="J42"/>
    </row>
    <row r="43" spans="2:17" x14ac:dyDescent="0.2">
      <c r="B43"/>
      <c r="C43"/>
      <c r="D43"/>
      <c r="E43"/>
      <c r="F43"/>
      <c r="G43"/>
      <c r="H43"/>
      <c r="I43"/>
      <c r="J43"/>
    </row>
    <row r="44" spans="2:17" x14ac:dyDescent="0.2">
      <c r="B44"/>
      <c r="C44"/>
      <c r="D44"/>
      <c r="E44"/>
      <c r="F44"/>
      <c r="G44"/>
      <c r="H44"/>
      <c r="I44"/>
      <c r="J44"/>
    </row>
    <row r="45" spans="2:17" x14ac:dyDescent="0.2">
      <c r="B45"/>
      <c r="C45"/>
      <c r="D45"/>
      <c r="E45"/>
      <c r="F45"/>
      <c r="G45"/>
      <c r="H45"/>
      <c r="I45"/>
      <c r="J45"/>
    </row>
    <row r="46" spans="2:17" x14ac:dyDescent="0.2">
      <c r="B46"/>
      <c r="C46"/>
      <c r="D46"/>
      <c r="E46"/>
      <c r="F46"/>
      <c r="G46"/>
      <c r="H46"/>
      <c r="I46"/>
      <c r="J46"/>
    </row>
    <row r="47" spans="2:17" x14ac:dyDescent="0.2">
      <c r="B47"/>
      <c r="C47"/>
      <c r="D47"/>
      <c r="E47"/>
      <c r="F47"/>
      <c r="G47"/>
      <c r="H47"/>
      <c r="I47"/>
      <c r="J47"/>
    </row>
    <row r="48" spans="2:17" x14ac:dyDescent="0.2">
      <c r="B48"/>
      <c r="C48"/>
      <c r="D48"/>
      <c r="E48"/>
      <c r="F48"/>
      <c r="G48"/>
      <c r="H48"/>
      <c r="I48"/>
      <c r="J48"/>
    </row>
    <row r="49" spans="2:10" x14ac:dyDescent="0.2">
      <c r="B49"/>
      <c r="C49"/>
      <c r="D49"/>
      <c r="E49"/>
      <c r="F49"/>
      <c r="G49"/>
      <c r="H49"/>
      <c r="I49"/>
      <c r="J49"/>
    </row>
    <row r="50" spans="2:10" x14ac:dyDescent="0.2">
      <c r="B50"/>
      <c r="C50"/>
      <c r="D50"/>
      <c r="E50"/>
      <c r="F50"/>
      <c r="G50"/>
      <c r="H50"/>
      <c r="I50"/>
      <c r="J50"/>
    </row>
    <row r="51" spans="2:10" x14ac:dyDescent="0.2">
      <c r="B51"/>
      <c r="C51"/>
      <c r="D51"/>
      <c r="E51"/>
      <c r="F51"/>
      <c r="G51"/>
      <c r="H51"/>
      <c r="I51"/>
      <c r="J51"/>
    </row>
    <row r="52" spans="2:10" x14ac:dyDescent="0.2">
      <c r="B52"/>
      <c r="C52"/>
      <c r="D52"/>
      <c r="E52"/>
      <c r="F52"/>
      <c r="G52"/>
      <c r="H52"/>
      <c r="I52"/>
      <c r="J52"/>
    </row>
    <row r="53" spans="2:10" x14ac:dyDescent="0.2">
      <c r="B53"/>
      <c r="C53"/>
      <c r="D53"/>
      <c r="E53"/>
      <c r="F53"/>
      <c r="G53"/>
      <c r="H53"/>
      <c r="I53"/>
      <c r="J53"/>
    </row>
    <row r="54" spans="2:10" x14ac:dyDescent="0.2">
      <c r="B54"/>
      <c r="C54"/>
      <c r="D54"/>
      <c r="E54"/>
      <c r="F54"/>
      <c r="G54"/>
      <c r="H54"/>
      <c r="I54"/>
      <c r="J54"/>
    </row>
    <row r="55" spans="2:10" x14ac:dyDescent="0.2">
      <c r="B55"/>
      <c r="C55"/>
      <c r="D55"/>
      <c r="E55"/>
      <c r="F55"/>
      <c r="G55"/>
      <c r="H55"/>
      <c r="I55"/>
      <c r="J55"/>
    </row>
    <row r="56" spans="2:10" x14ac:dyDescent="0.2">
      <c r="B56"/>
      <c r="C56"/>
      <c r="D56"/>
      <c r="E56"/>
      <c r="F56"/>
      <c r="G56"/>
      <c r="H56"/>
      <c r="I56"/>
      <c r="J56"/>
    </row>
    <row r="57" spans="2:10" x14ac:dyDescent="0.2">
      <c r="B57"/>
      <c r="C57"/>
      <c r="D57"/>
      <c r="E57"/>
      <c r="F57"/>
      <c r="G57"/>
      <c r="H57"/>
      <c r="I57"/>
      <c r="J57"/>
    </row>
    <row r="58" spans="2:10" x14ac:dyDescent="0.2">
      <c r="B58"/>
      <c r="C58"/>
      <c r="D58"/>
      <c r="E58"/>
      <c r="F58"/>
      <c r="G58"/>
      <c r="H58"/>
      <c r="I58"/>
      <c r="J58"/>
    </row>
    <row r="59" spans="2:10" x14ac:dyDescent="0.2">
      <c r="B59"/>
      <c r="C59"/>
      <c r="D59"/>
      <c r="E59"/>
      <c r="F59"/>
      <c r="G59"/>
      <c r="H59"/>
      <c r="I59"/>
      <c r="J59"/>
    </row>
    <row r="60" spans="2:10" x14ac:dyDescent="0.2">
      <c r="B60"/>
      <c r="C60"/>
      <c r="D60"/>
      <c r="E60"/>
      <c r="F60"/>
      <c r="G60"/>
      <c r="H60"/>
      <c r="I60"/>
      <c r="J60"/>
    </row>
    <row r="61" spans="2:10" x14ac:dyDescent="0.2">
      <c r="B61"/>
      <c r="C61"/>
      <c r="D61"/>
      <c r="E61"/>
      <c r="F61"/>
      <c r="G61"/>
      <c r="H61"/>
      <c r="I61"/>
      <c r="J61"/>
    </row>
    <row r="62" spans="2:10" x14ac:dyDescent="0.2">
      <c r="B62"/>
      <c r="C62"/>
      <c r="D62"/>
      <c r="E62"/>
      <c r="F62"/>
      <c r="G62"/>
      <c r="H62"/>
      <c r="I62"/>
      <c r="J62"/>
    </row>
    <row r="63" spans="2:10" x14ac:dyDescent="0.2">
      <c r="B63"/>
      <c r="C63"/>
      <c r="D63"/>
      <c r="E63"/>
      <c r="F63"/>
      <c r="G63"/>
      <c r="H63"/>
      <c r="I63"/>
      <c r="J63"/>
    </row>
    <row r="64" spans="2:10" x14ac:dyDescent="0.2">
      <c r="B64"/>
      <c r="C64"/>
      <c r="D64"/>
      <c r="E64"/>
      <c r="F64"/>
      <c r="G64"/>
      <c r="H64"/>
      <c r="I64"/>
      <c r="J64"/>
    </row>
    <row r="65" spans="2:10" x14ac:dyDescent="0.2">
      <c r="B65"/>
      <c r="C65"/>
      <c r="D65"/>
      <c r="E65"/>
      <c r="F65"/>
      <c r="G65"/>
      <c r="H65"/>
      <c r="I65"/>
      <c r="J65"/>
    </row>
    <row r="66" spans="2:10" x14ac:dyDescent="0.2">
      <c r="B66"/>
      <c r="C66"/>
      <c r="D66"/>
      <c r="E66"/>
      <c r="F66"/>
      <c r="G66"/>
      <c r="H66"/>
      <c r="I66"/>
      <c r="J66"/>
    </row>
    <row r="67" spans="2:10" x14ac:dyDescent="0.2">
      <c r="B67"/>
      <c r="C67"/>
      <c r="D67"/>
      <c r="E67"/>
      <c r="F67"/>
      <c r="G67"/>
      <c r="H67"/>
      <c r="I67"/>
      <c r="J67"/>
    </row>
    <row r="68" spans="2:10" x14ac:dyDescent="0.2">
      <c r="B68"/>
      <c r="C68"/>
      <c r="D68"/>
      <c r="E68"/>
      <c r="F68"/>
      <c r="G68"/>
      <c r="H68"/>
      <c r="I68"/>
      <c r="J68"/>
    </row>
    <row r="69" spans="2:10" x14ac:dyDescent="0.2">
      <c r="B69"/>
      <c r="C69"/>
      <c r="D69"/>
      <c r="E69"/>
      <c r="F69"/>
      <c r="G69"/>
      <c r="H69"/>
      <c r="I69"/>
      <c r="J69"/>
    </row>
    <row r="70" spans="2:10" x14ac:dyDescent="0.2">
      <c r="B70"/>
      <c r="C70"/>
      <c r="D70"/>
      <c r="E70"/>
      <c r="F70"/>
      <c r="G70"/>
      <c r="H70"/>
      <c r="I70"/>
      <c r="J70"/>
    </row>
    <row r="71" spans="2:10" x14ac:dyDescent="0.2">
      <c r="B71"/>
      <c r="C71"/>
      <c r="D71"/>
      <c r="E71"/>
      <c r="F71"/>
      <c r="G71"/>
      <c r="H71"/>
      <c r="I71"/>
      <c r="J71"/>
    </row>
    <row r="72" spans="2:10" x14ac:dyDescent="0.2">
      <c r="B72"/>
      <c r="C72"/>
      <c r="D72"/>
      <c r="E72"/>
      <c r="F72"/>
      <c r="G72"/>
      <c r="H72"/>
      <c r="I72"/>
      <c r="J72"/>
    </row>
    <row r="73" spans="2:10" x14ac:dyDescent="0.2">
      <c r="B73"/>
      <c r="C73"/>
      <c r="D73"/>
      <c r="E73"/>
      <c r="F73"/>
      <c r="G73"/>
      <c r="H73"/>
      <c r="I73"/>
      <c r="J73"/>
    </row>
    <row r="74" spans="2:10" x14ac:dyDescent="0.2">
      <c r="B74"/>
      <c r="C74"/>
      <c r="D74"/>
      <c r="E74"/>
      <c r="F74"/>
      <c r="G74"/>
      <c r="H74"/>
      <c r="I74"/>
      <c r="J74"/>
    </row>
    <row r="75" spans="2:10" x14ac:dyDescent="0.2">
      <c r="B75"/>
      <c r="C75"/>
      <c r="D75"/>
      <c r="E75"/>
      <c r="F75"/>
      <c r="G75"/>
      <c r="H75"/>
      <c r="I75"/>
      <c r="J75"/>
    </row>
    <row r="76" spans="2:10" x14ac:dyDescent="0.2">
      <c r="B76"/>
      <c r="C76"/>
      <c r="D76"/>
      <c r="E76"/>
      <c r="F76"/>
      <c r="G76"/>
      <c r="H76"/>
      <c r="I76"/>
      <c r="J76"/>
    </row>
    <row r="77" spans="2:10" x14ac:dyDescent="0.2">
      <c r="B77"/>
      <c r="C77"/>
      <c r="D77"/>
      <c r="E77"/>
      <c r="F77"/>
      <c r="G77"/>
      <c r="H77"/>
      <c r="I77"/>
      <c r="J77"/>
    </row>
    <row r="78" spans="2:10" x14ac:dyDescent="0.2">
      <c r="B78"/>
      <c r="C78"/>
      <c r="D78"/>
      <c r="E78"/>
      <c r="F78"/>
      <c r="G78"/>
      <c r="H78"/>
      <c r="I78"/>
      <c r="J78"/>
    </row>
    <row r="79" spans="2:10" x14ac:dyDescent="0.2">
      <c r="B79"/>
      <c r="C79"/>
      <c r="D79"/>
      <c r="E79"/>
      <c r="F79"/>
      <c r="G79"/>
      <c r="H79"/>
      <c r="I79"/>
      <c r="J79"/>
    </row>
    <row r="80" spans="2:10" x14ac:dyDescent="0.2">
      <c r="B80"/>
      <c r="C80"/>
      <c r="D80"/>
      <c r="E80"/>
      <c r="F80"/>
      <c r="G80"/>
      <c r="H80"/>
      <c r="I80"/>
      <c r="J80"/>
    </row>
    <row r="81" spans="2:10" x14ac:dyDescent="0.2">
      <c r="B81"/>
      <c r="C81"/>
      <c r="D81"/>
      <c r="E81"/>
      <c r="F81"/>
      <c r="G81"/>
      <c r="H81"/>
      <c r="I81"/>
      <c r="J81"/>
    </row>
    <row r="82" spans="2:10" x14ac:dyDescent="0.2">
      <c r="B82"/>
      <c r="C82"/>
      <c r="D82"/>
      <c r="E82"/>
      <c r="F82"/>
      <c r="G82"/>
      <c r="H82"/>
      <c r="I82"/>
      <c r="J82"/>
    </row>
    <row r="83" spans="2:10" x14ac:dyDescent="0.2">
      <c r="B83"/>
      <c r="C83"/>
      <c r="D83"/>
      <c r="E83"/>
      <c r="F83"/>
      <c r="G83"/>
      <c r="H83"/>
      <c r="I83"/>
      <c r="J83"/>
    </row>
    <row r="84" spans="2:10" x14ac:dyDescent="0.2">
      <c r="B84"/>
      <c r="C84"/>
      <c r="D84"/>
      <c r="E84"/>
      <c r="F84"/>
      <c r="G84"/>
      <c r="H84"/>
      <c r="I84"/>
      <c r="J84"/>
    </row>
    <row r="85" spans="2:10" x14ac:dyDescent="0.2">
      <c r="B85"/>
      <c r="C85"/>
      <c r="D85"/>
      <c r="E85"/>
      <c r="F85"/>
      <c r="G85"/>
      <c r="H85"/>
      <c r="I85"/>
      <c r="J85"/>
    </row>
    <row r="86" spans="2:10" x14ac:dyDescent="0.2">
      <c r="B86"/>
      <c r="C86"/>
      <c r="D86"/>
      <c r="E86"/>
      <c r="F86"/>
      <c r="G86"/>
      <c r="H86"/>
      <c r="I86"/>
      <c r="J86"/>
    </row>
    <row r="87" spans="2:10" x14ac:dyDescent="0.2">
      <c r="B87"/>
      <c r="C87"/>
      <c r="D87"/>
      <c r="E87"/>
      <c r="F87"/>
      <c r="G87"/>
      <c r="H87"/>
      <c r="I87"/>
      <c r="J87"/>
    </row>
    <row r="88" spans="2:10" x14ac:dyDescent="0.2">
      <c r="B88"/>
      <c r="C88"/>
      <c r="D88"/>
      <c r="E88"/>
      <c r="F88"/>
      <c r="G88"/>
      <c r="H88"/>
      <c r="I88"/>
      <c r="J88"/>
    </row>
    <row r="89" spans="2:10" x14ac:dyDescent="0.2">
      <c r="B89"/>
      <c r="C89"/>
      <c r="D89"/>
      <c r="E89"/>
      <c r="F89"/>
      <c r="G89"/>
      <c r="H89"/>
      <c r="I89"/>
      <c r="J89"/>
    </row>
    <row r="90" spans="2:10" x14ac:dyDescent="0.2">
      <c r="B90"/>
      <c r="C90"/>
      <c r="D90"/>
      <c r="E90"/>
      <c r="F90"/>
      <c r="G90"/>
      <c r="H90"/>
      <c r="I90"/>
      <c r="J90"/>
    </row>
    <row r="91" spans="2:10" x14ac:dyDescent="0.2">
      <c r="B91"/>
      <c r="C91"/>
      <c r="D91"/>
      <c r="E91"/>
      <c r="F91"/>
      <c r="G91"/>
    </row>
    <row r="92" spans="2:10" x14ac:dyDescent="0.2">
      <c r="B92"/>
      <c r="C92"/>
      <c r="D92"/>
      <c r="E92"/>
      <c r="F92"/>
      <c r="G92"/>
    </row>
  </sheetData>
  <mergeCells count="2">
    <mergeCell ref="D4:J4"/>
    <mergeCell ref="L20:M20"/>
  </mergeCells>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sheetPr>
  <dimension ref="A3:BN38"/>
  <sheetViews>
    <sheetView showGridLines="0" workbookViewId="0">
      <selection activeCell="G11" sqref="G11"/>
    </sheetView>
  </sheetViews>
  <sheetFormatPr defaultRowHeight="15" x14ac:dyDescent="0.25"/>
  <cols>
    <col min="1" max="3" width="2.7109375" style="41" customWidth="1"/>
    <col min="4" max="4" width="55.85546875" bestFit="1" customWidth="1"/>
    <col min="5" max="5" width="30.7109375" customWidth="1"/>
    <col min="6" max="6" width="10.7109375" customWidth="1"/>
    <col min="7" max="7" width="10.42578125" style="1" customWidth="1"/>
    <col min="8" max="8" width="10.42578125" customWidth="1"/>
    <col min="9" max="9" width="2.7109375" customWidth="1"/>
    <col min="10" max="10" width="6.140625" hidden="1" customWidth="1"/>
    <col min="11" max="66" width="2.5703125" customWidth="1"/>
  </cols>
  <sheetData>
    <row r="3" spans="1:66" ht="25.5" customHeight="1" x14ac:dyDescent="0.35">
      <c r="E3" s="37" t="s">
        <v>178</v>
      </c>
      <c r="F3" s="38"/>
      <c r="G3" s="39"/>
      <c r="H3" s="40"/>
    </row>
    <row r="5" spans="1:66" ht="34.5" customHeight="1" thickBot="1" x14ac:dyDescent="0.3">
      <c r="A5" s="41" t="s">
        <v>140</v>
      </c>
      <c r="D5" s="105" t="s">
        <v>170</v>
      </c>
      <c r="E5" s="355" t="s">
        <v>141</v>
      </c>
      <c r="F5" s="356"/>
      <c r="G5" s="357">
        <v>45160</v>
      </c>
      <c r="H5" s="357"/>
    </row>
    <row r="6" spans="1:66" ht="30" customHeight="1" thickTop="1" thickBot="1" x14ac:dyDescent="0.3">
      <c r="A6" s="36" t="s">
        <v>142</v>
      </c>
      <c r="B6" s="36"/>
      <c r="C6" s="36"/>
      <c r="E6" s="355" t="s">
        <v>143</v>
      </c>
      <c r="F6" s="356"/>
      <c r="G6" s="42">
        <v>1</v>
      </c>
      <c r="K6" s="352">
        <f>K7</f>
        <v>45159</v>
      </c>
      <c r="L6" s="353"/>
      <c r="M6" s="353"/>
      <c r="N6" s="353"/>
      <c r="O6" s="353"/>
      <c r="P6" s="353"/>
      <c r="Q6" s="354"/>
      <c r="R6" s="352">
        <f>R7</f>
        <v>45166</v>
      </c>
      <c r="S6" s="353"/>
      <c r="T6" s="353"/>
      <c r="U6" s="353"/>
      <c r="V6" s="353"/>
      <c r="W6" s="353"/>
      <c r="X6" s="354"/>
      <c r="Y6" s="352">
        <f>Y7</f>
        <v>45173</v>
      </c>
      <c r="Z6" s="353"/>
      <c r="AA6" s="353"/>
      <c r="AB6" s="353"/>
      <c r="AC6" s="353"/>
      <c r="AD6" s="353"/>
      <c r="AE6" s="354"/>
      <c r="AF6" s="352">
        <f>AF7</f>
        <v>45180</v>
      </c>
      <c r="AG6" s="353"/>
      <c r="AH6" s="353"/>
      <c r="AI6" s="353"/>
      <c r="AJ6" s="353"/>
      <c r="AK6" s="353"/>
      <c r="AL6" s="354"/>
      <c r="AM6" s="352">
        <f>AM7</f>
        <v>45187</v>
      </c>
      <c r="AN6" s="353"/>
      <c r="AO6" s="353"/>
      <c r="AP6" s="353"/>
      <c r="AQ6" s="353"/>
      <c r="AR6" s="353"/>
      <c r="AS6" s="354"/>
      <c r="AT6" s="352">
        <f>AT7</f>
        <v>45194</v>
      </c>
      <c r="AU6" s="353"/>
      <c r="AV6" s="353"/>
      <c r="AW6" s="353"/>
      <c r="AX6" s="353"/>
      <c r="AY6" s="353"/>
      <c r="AZ6" s="354"/>
      <c r="BA6" s="352">
        <f>BA7</f>
        <v>45201</v>
      </c>
      <c r="BB6" s="353"/>
      <c r="BC6" s="353"/>
      <c r="BD6" s="353"/>
      <c r="BE6" s="353"/>
      <c r="BF6" s="353"/>
      <c r="BG6" s="354"/>
      <c r="BH6" s="352">
        <f>BH7</f>
        <v>45208</v>
      </c>
      <c r="BI6" s="353"/>
      <c r="BJ6" s="353"/>
      <c r="BK6" s="353"/>
      <c r="BL6" s="353"/>
      <c r="BM6" s="353"/>
      <c r="BN6" s="354"/>
    </row>
    <row r="7" spans="1:66" ht="15" customHeight="1" x14ac:dyDescent="0.25">
      <c r="A7" s="36" t="s">
        <v>144</v>
      </c>
      <c r="B7" s="36"/>
      <c r="C7" s="36"/>
      <c r="D7" s="43"/>
      <c r="E7" s="43"/>
      <c r="F7" s="43"/>
      <c r="G7" s="43"/>
      <c r="H7" s="43"/>
      <c r="I7" s="43"/>
      <c r="K7" s="44">
        <f>Início_do_projeto-WEEKDAY(Início_do_projeto,1)+2+7*(Semana_de_exibição-1)</f>
        <v>45159</v>
      </c>
      <c r="L7" s="45">
        <f>K7+1</f>
        <v>45160</v>
      </c>
      <c r="M7" s="45">
        <f t="shared" ref="M7:AZ7" si="0">L7+1</f>
        <v>45161</v>
      </c>
      <c r="N7" s="45">
        <f t="shared" si="0"/>
        <v>45162</v>
      </c>
      <c r="O7" s="45">
        <f t="shared" si="0"/>
        <v>45163</v>
      </c>
      <c r="P7" s="45">
        <f t="shared" si="0"/>
        <v>45164</v>
      </c>
      <c r="Q7" s="46">
        <f t="shared" si="0"/>
        <v>45165</v>
      </c>
      <c r="R7" s="44">
        <f>Q7+1</f>
        <v>45166</v>
      </c>
      <c r="S7" s="45">
        <f>R7+1</f>
        <v>45167</v>
      </c>
      <c r="T7" s="45">
        <f t="shared" si="0"/>
        <v>45168</v>
      </c>
      <c r="U7" s="45">
        <f t="shared" si="0"/>
        <v>45169</v>
      </c>
      <c r="V7" s="45">
        <f t="shared" si="0"/>
        <v>45170</v>
      </c>
      <c r="W7" s="45">
        <f t="shared" si="0"/>
        <v>45171</v>
      </c>
      <c r="X7" s="46">
        <f t="shared" si="0"/>
        <v>45172</v>
      </c>
      <c r="Y7" s="44">
        <f>X7+1</f>
        <v>45173</v>
      </c>
      <c r="Z7" s="45">
        <f>Y7+1</f>
        <v>45174</v>
      </c>
      <c r="AA7" s="45">
        <f t="shared" si="0"/>
        <v>45175</v>
      </c>
      <c r="AB7" s="45">
        <f t="shared" si="0"/>
        <v>45176</v>
      </c>
      <c r="AC7" s="45">
        <f t="shared" si="0"/>
        <v>45177</v>
      </c>
      <c r="AD7" s="45">
        <f t="shared" si="0"/>
        <v>45178</v>
      </c>
      <c r="AE7" s="46">
        <f t="shared" si="0"/>
        <v>45179</v>
      </c>
      <c r="AF7" s="44">
        <f>AE7+1</f>
        <v>45180</v>
      </c>
      <c r="AG7" s="45">
        <f>AF7+1</f>
        <v>45181</v>
      </c>
      <c r="AH7" s="45">
        <f t="shared" si="0"/>
        <v>45182</v>
      </c>
      <c r="AI7" s="45">
        <f t="shared" si="0"/>
        <v>45183</v>
      </c>
      <c r="AJ7" s="45">
        <f t="shared" si="0"/>
        <v>45184</v>
      </c>
      <c r="AK7" s="45">
        <f t="shared" si="0"/>
        <v>45185</v>
      </c>
      <c r="AL7" s="46">
        <f t="shared" si="0"/>
        <v>45186</v>
      </c>
      <c r="AM7" s="44">
        <f>AL7+1</f>
        <v>45187</v>
      </c>
      <c r="AN7" s="45">
        <f>AM7+1</f>
        <v>45188</v>
      </c>
      <c r="AO7" s="45">
        <f t="shared" si="0"/>
        <v>45189</v>
      </c>
      <c r="AP7" s="45">
        <f t="shared" si="0"/>
        <v>45190</v>
      </c>
      <c r="AQ7" s="45">
        <f t="shared" si="0"/>
        <v>45191</v>
      </c>
      <c r="AR7" s="45">
        <f t="shared" si="0"/>
        <v>45192</v>
      </c>
      <c r="AS7" s="46">
        <f t="shared" si="0"/>
        <v>45193</v>
      </c>
      <c r="AT7" s="44">
        <f>AS7+1</f>
        <v>45194</v>
      </c>
      <c r="AU7" s="45">
        <f>AT7+1</f>
        <v>45195</v>
      </c>
      <c r="AV7" s="45">
        <f t="shared" si="0"/>
        <v>45196</v>
      </c>
      <c r="AW7" s="45">
        <f t="shared" si="0"/>
        <v>45197</v>
      </c>
      <c r="AX7" s="45">
        <f t="shared" si="0"/>
        <v>45198</v>
      </c>
      <c r="AY7" s="45">
        <f t="shared" si="0"/>
        <v>45199</v>
      </c>
      <c r="AZ7" s="46">
        <f t="shared" si="0"/>
        <v>45200</v>
      </c>
      <c r="BA7" s="44">
        <f t="shared" ref="BA7:BN7" si="1">AZ7+1</f>
        <v>45201</v>
      </c>
      <c r="BB7" s="45">
        <f t="shared" si="1"/>
        <v>45202</v>
      </c>
      <c r="BC7" s="45">
        <f t="shared" si="1"/>
        <v>45203</v>
      </c>
      <c r="BD7" s="45">
        <f t="shared" si="1"/>
        <v>45204</v>
      </c>
      <c r="BE7" s="45">
        <f t="shared" si="1"/>
        <v>45205</v>
      </c>
      <c r="BF7" s="45">
        <f t="shared" si="1"/>
        <v>45206</v>
      </c>
      <c r="BG7" s="46">
        <f t="shared" si="1"/>
        <v>45207</v>
      </c>
      <c r="BH7" s="44">
        <f t="shared" si="1"/>
        <v>45208</v>
      </c>
      <c r="BI7" s="45">
        <f t="shared" si="1"/>
        <v>45209</v>
      </c>
      <c r="BJ7" s="45">
        <f t="shared" si="1"/>
        <v>45210</v>
      </c>
      <c r="BK7" s="45">
        <f t="shared" si="1"/>
        <v>45211</v>
      </c>
      <c r="BL7" s="45">
        <f t="shared" si="1"/>
        <v>45212</v>
      </c>
      <c r="BM7" s="45">
        <f t="shared" si="1"/>
        <v>45213</v>
      </c>
      <c r="BN7" s="46">
        <f t="shared" si="1"/>
        <v>45214</v>
      </c>
    </row>
    <row r="8" spans="1:66" ht="30" customHeight="1" thickBot="1" x14ac:dyDescent="0.3">
      <c r="A8" s="36" t="s">
        <v>145</v>
      </c>
      <c r="B8" s="36"/>
      <c r="C8" s="36"/>
      <c r="D8" s="47" t="s">
        <v>146</v>
      </c>
      <c r="E8" s="48" t="s">
        <v>147</v>
      </c>
      <c r="F8" s="48" t="s">
        <v>148</v>
      </c>
      <c r="G8" s="48" t="s">
        <v>149</v>
      </c>
      <c r="H8" s="48" t="s">
        <v>150</v>
      </c>
      <c r="I8" s="48"/>
      <c r="J8" s="48" t="s">
        <v>151</v>
      </c>
      <c r="K8" s="49" t="str">
        <f t="shared" ref="K8:BN8" si="2">LEFT(TEXT(K7,"ddd"),1)</f>
        <v>s</v>
      </c>
      <c r="L8" s="49" t="str">
        <f t="shared" si="2"/>
        <v>t</v>
      </c>
      <c r="M8" s="49" t="str">
        <f t="shared" si="2"/>
        <v>q</v>
      </c>
      <c r="N8" s="49" t="str">
        <f t="shared" si="2"/>
        <v>q</v>
      </c>
      <c r="O8" s="49" t="str">
        <f t="shared" si="2"/>
        <v>s</v>
      </c>
      <c r="P8" s="49" t="str">
        <f t="shared" si="2"/>
        <v>s</v>
      </c>
      <c r="Q8" s="49" t="str">
        <f t="shared" si="2"/>
        <v>d</v>
      </c>
      <c r="R8" s="49" t="str">
        <f t="shared" si="2"/>
        <v>s</v>
      </c>
      <c r="S8" s="49" t="str">
        <f t="shared" si="2"/>
        <v>t</v>
      </c>
      <c r="T8" s="49" t="str">
        <f t="shared" si="2"/>
        <v>q</v>
      </c>
      <c r="U8" s="49" t="str">
        <f t="shared" si="2"/>
        <v>q</v>
      </c>
      <c r="V8" s="49" t="str">
        <f t="shared" si="2"/>
        <v>s</v>
      </c>
      <c r="W8" s="49" t="str">
        <f t="shared" si="2"/>
        <v>s</v>
      </c>
      <c r="X8" s="49" t="str">
        <f t="shared" si="2"/>
        <v>d</v>
      </c>
      <c r="Y8" s="49" t="str">
        <f t="shared" si="2"/>
        <v>s</v>
      </c>
      <c r="Z8" s="49" t="str">
        <f t="shared" si="2"/>
        <v>t</v>
      </c>
      <c r="AA8" s="49" t="str">
        <f t="shared" si="2"/>
        <v>q</v>
      </c>
      <c r="AB8" s="49" t="str">
        <f t="shared" si="2"/>
        <v>q</v>
      </c>
      <c r="AC8" s="49" t="str">
        <f t="shared" si="2"/>
        <v>s</v>
      </c>
      <c r="AD8" s="49" t="str">
        <f t="shared" si="2"/>
        <v>s</v>
      </c>
      <c r="AE8" s="49" t="str">
        <f t="shared" si="2"/>
        <v>d</v>
      </c>
      <c r="AF8" s="49" t="str">
        <f t="shared" si="2"/>
        <v>s</v>
      </c>
      <c r="AG8" s="49" t="str">
        <f t="shared" si="2"/>
        <v>t</v>
      </c>
      <c r="AH8" s="49" t="str">
        <f t="shared" si="2"/>
        <v>q</v>
      </c>
      <c r="AI8" s="49" t="str">
        <f t="shared" si="2"/>
        <v>q</v>
      </c>
      <c r="AJ8" s="49" t="str">
        <f t="shared" si="2"/>
        <v>s</v>
      </c>
      <c r="AK8" s="49" t="str">
        <f t="shared" si="2"/>
        <v>s</v>
      </c>
      <c r="AL8" s="49" t="str">
        <f t="shared" si="2"/>
        <v>d</v>
      </c>
      <c r="AM8" s="49" t="str">
        <f t="shared" si="2"/>
        <v>s</v>
      </c>
      <c r="AN8" s="49" t="str">
        <f t="shared" si="2"/>
        <v>t</v>
      </c>
      <c r="AO8" s="49" t="str">
        <f t="shared" si="2"/>
        <v>q</v>
      </c>
      <c r="AP8" s="49" t="str">
        <f t="shared" si="2"/>
        <v>q</v>
      </c>
      <c r="AQ8" s="49" t="str">
        <f t="shared" si="2"/>
        <v>s</v>
      </c>
      <c r="AR8" s="49" t="str">
        <f t="shared" si="2"/>
        <v>s</v>
      </c>
      <c r="AS8" s="49" t="str">
        <f t="shared" si="2"/>
        <v>d</v>
      </c>
      <c r="AT8" s="49" t="str">
        <f t="shared" si="2"/>
        <v>s</v>
      </c>
      <c r="AU8" s="49" t="str">
        <f t="shared" si="2"/>
        <v>t</v>
      </c>
      <c r="AV8" s="49" t="str">
        <f t="shared" si="2"/>
        <v>q</v>
      </c>
      <c r="AW8" s="49" t="str">
        <f t="shared" si="2"/>
        <v>q</v>
      </c>
      <c r="AX8" s="49" t="str">
        <f t="shared" si="2"/>
        <v>s</v>
      </c>
      <c r="AY8" s="49" t="str">
        <f t="shared" si="2"/>
        <v>s</v>
      </c>
      <c r="AZ8" s="49" t="str">
        <f t="shared" si="2"/>
        <v>d</v>
      </c>
      <c r="BA8" s="49" t="str">
        <f t="shared" si="2"/>
        <v>s</v>
      </c>
      <c r="BB8" s="49" t="str">
        <f t="shared" si="2"/>
        <v>t</v>
      </c>
      <c r="BC8" s="49" t="str">
        <f t="shared" si="2"/>
        <v>q</v>
      </c>
      <c r="BD8" s="49" t="str">
        <f t="shared" si="2"/>
        <v>q</v>
      </c>
      <c r="BE8" s="49" t="str">
        <f t="shared" si="2"/>
        <v>s</v>
      </c>
      <c r="BF8" s="49" t="str">
        <f t="shared" si="2"/>
        <v>s</v>
      </c>
      <c r="BG8" s="49" t="str">
        <f t="shared" si="2"/>
        <v>d</v>
      </c>
      <c r="BH8" s="49" t="str">
        <f t="shared" si="2"/>
        <v>s</v>
      </c>
      <c r="BI8" s="49" t="str">
        <f t="shared" si="2"/>
        <v>t</v>
      </c>
      <c r="BJ8" s="49" t="str">
        <f t="shared" si="2"/>
        <v>q</v>
      </c>
      <c r="BK8" s="49" t="str">
        <f t="shared" si="2"/>
        <v>q</v>
      </c>
      <c r="BL8" s="49" t="str">
        <f t="shared" si="2"/>
        <v>s</v>
      </c>
      <c r="BM8" s="49" t="str">
        <f t="shared" si="2"/>
        <v>s</v>
      </c>
      <c r="BN8" s="49" t="str">
        <f t="shared" si="2"/>
        <v>d</v>
      </c>
    </row>
    <row r="9" spans="1:66" ht="30" hidden="1" customHeight="1" x14ac:dyDescent="0.25">
      <c r="A9" s="41" t="s">
        <v>152</v>
      </c>
      <c r="E9" s="50"/>
      <c r="G9"/>
      <c r="J9">
        <f>IF(OR(ISBLANK(início_da_tarefa),ISBLANK(término_da_tarefa)),"",término_da_tarefa-início_da_tarefa+1)</f>
        <v>4</v>
      </c>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c r="BM9" s="51"/>
      <c r="BN9" s="51"/>
    </row>
    <row r="10" spans="1:66" s="14" customFormat="1" ht="30" customHeight="1" thickBot="1" x14ac:dyDescent="0.3">
      <c r="A10" s="36" t="s">
        <v>153</v>
      </c>
      <c r="B10" s="36"/>
      <c r="C10" s="36"/>
      <c r="D10" s="52" t="s">
        <v>55</v>
      </c>
      <c r="E10" s="53"/>
      <c r="F10" s="54"/>
      <c r="G10" s="55"/>
      <c r="H10" s="56"/>
      <c r="I10" s="57"/>
      <c r="J10" s="57">
        <f t="shared" ref="J10:J35" si="3">IF(OR(ISBLANK(início_da_tarefa),ISBLANK(término_da_tarefa)),"",término_da_tarefa-início_da_tarefa+1)</f>
        <v>3</v>
      </c>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c r="BM10" s="51"/>
      <c r="BN10" s="51"/>
    </row>
    <row r="11" spans="1:66" s="14" customFormat="1" ht="30" customHeight="1" thickBot="1" x14ac:dyDescent="0.3">
      <c r="A11" s="36" t="s">
        <v>154</v>
      </c>
      <c r="B11" s="36"/>
      <c r="C11" s="36"/>
      <c r="D11" s="58" t="s">
        <v>53</v>
      </c>
      <c r="E11" s="59"/>
      <c r="F11" s="60"/>
      <c r="G11" s="61">
        <f>Início_do_projeto</f>
        <v>45160</v>
      </c>
      <c r="H11" s="61">
        <f>G11+3</f>
        <v>45163</v>
      </c>
      <c r="I11" s="57"/>
      <c r="J11" s="57">
        <f t="shared" si="3"/>
        <v>5</v>
      </c>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c r="BM11" s="51"/>
      <c r="BN11" s="51"/>
    </row>
    <row r="12" spans="1:66" s="14" customFormat="1" ht="30" customHeight="1" thickBot="1" x14ac:dyDescent="0.3">
      <c r="A12" s="36" t="s">
        <v>156</v>
      </c>
      <c r="B12" s="36"/>
      <c r="C12" s="36"/>
      <c r="D12" s="58" t="s">
        <v>157</v>
      </c>
      <c r="E12" s="59"/>
      <c r="F12" s="60"/>
      <c r="G12" s="61"/>
      <c r="H12" s="61"/>
      <c r="I12" s="57"/>
      <c r="J12" s="57">
        <f t="shared" si="3"/>
        <v>6</v>
      </c>
      <c r="K12" s="51"/>
      <c r="L12" s="51"/>
      <c r="M12" s="51"/>
      <c r="N12" s="51"/>
      <c r="O12" s="51"/>
      <c r="P12" s="51"/>
      <c r="Q12" s="51"/>
      <c r="R12" s="51"/>
      <c r="S12" s="51"/>
      <c r="T12" s="51"/>
      <c r="U12" s="51"/>
      <c r="V12" s="51"/>
      <c r="W12" s="62"/>
      <c r="X12" s="62"/>
      <c r="Y12" s="51"/>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c r="BM12" s="51"/>
      <c r="BN12" s="51"/>
    </row>
    <row r="13" spans="1:66" s="14" customFormat="1" ht="30" customHeight="1" thickBot="1" x14ac:dyDescent="0.3">
      <c r="A13" s="41"/>
      <c r="B13" s="41"/>
      <c r="C13" s="41"/>
      <c r="D13" s="58" t="s">
        <v>158</v>
      </c>
      <c r="E13" s="59"/>
      <c r="F13" s="60"/>
      <c r="G13" s="61"/>
      <c r="H13" s="61"/>
      <c r="I13" s="57"/>
      <c r="J13" s="57">
        <f t="shared" si="3"/>
        <v>3</v>
      </c>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row>
    <row r="14" spans="1:66" s="14" customFormat="1" ht="30" customHeight="1" thickBot="1" x14ac:dyDescent="0.3">
      <c r="A14" s="41"/>
      <c r="B14" s="41"/>
      <c r="C14" s="41"/>
      <c r="D14" s="58" t="s">
        <v>159</v>
      </c>
      <c r="E14" s="59"/>
      <c r="F14" s="60"/>
      <c r="G14" s="61"/>
      <c r="H14" s="61"/>
      <c r="I14" s="57"/>
      <c r="J14" s="57" t="str">
        <f t="shared" si="3"/>
        <v/>
      </c>
      <c r="K14" s="51"/>
      <c r="L14" s="51"/>
      <c r="M14" s="51"/>
      <c r="N14" s="51"/>
      <c r="O14" s="51"/>
      <c r="P14" s="51"/>
      <c r="Q14" s="51"/>
      <c r="R14" s="51"/>
      <c r="S14" s="51"/>
      <c r="T14" s="51"/>
      <c r="U14" s="51"/>
      <c r="V14" s="51"/>
      <c r="W14" s="51"/>
      <c r="X14" s="51"/>
      <c r="Y14" s="51"/>
      <c r="Z14" s="51"/>
      <c r="AA14" s="62"/>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row>
    <row r="15" spans="1:66" s="14" customFormat="1" ht="30" customHeight="1" thickBot="1" x14ac:dyDescent="0.3">
      <c r="A15" s="41"/>
      <c r="B15" s="41"/>
      <c r="C15" s="41"/>
      <c r="D15" s="58" t="s">
        <v>160</v>
      </c>
      <c r="E15" s="59"/>
      <c r="F15" s="60"/>
      <c r="G15" s="61"/>
      <c r="H15" s="61"/>
      <c r="I15" s="57"/>
      <c r="J15" s="57">
        <f t="shared" si="3"/>
        <v>5</v>
      </c>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c r="BM15" s="51"/>
      <c r="BN15" s="51"/>
    </row>
    <row r="16" spans="1:66" s="14" customFormat="1" ht="30" customHeight="1" thickBot="1" x14ac:dyDescent="0.3">
      <c r="A16" s="36" t="s">
        <v>161</v>
      </c>
      <c r="B16" s="36"/>
      <c r="C16" s="36"/>
      <c r="D16" s="63" t="s">
        <v>162</v>
      </c>
      <c r="E16" s="64"/>
      <c r="F16" s="65"/>
      <c r="G16" s="66"/>
      <c r="H16" s="67"/>
      <c r="I16" s="57"/>
      <c r="J16" s="57">
        <f t="shared" si="3"/>
        <v>6</v>
      </c>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row>
    <row r="17" spans="1:66" s="14" customFormat="1" ht="30" customHeight="1" thickBot="1" x14ac:dyDescent="0.3">
      <c r="A17" s="36"/>
      <c r="B17" s="36"/>
      <c r="C17" s="36"/>
      <c r="D17" s="68" t="s">
        <v>155</v>
      </c>
      <c r="E17" s="69"/>
      <c r="F17" s="70"/>
      <c r="G17" s="71"/>
      <c r="H17" s="71"/>
      <c r="I17" s="57"/>
      <c r="J17" s="57">
        <f t="shared" si="3"/>
        <v>4</v>
      </c>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c r="BM17" s="51"/>
      <c r="BN17" s="51"/>
    </row>
    <row r="18" spans="1:66" s="14" customFormat="1" ht="30" customHeight="1" thickBot="1" x14ac:dyDescent="0.3">
      <c r="A18" s="41"/>
      <c r="B18" s="41"/>
      <c r="C18" s="41"/>
      <c r="D18" s="68" t="s">
        <v>157</v>
      </c>
      <c r="E18" s="69"/>
      <c r="F18" s="70"/>
      <c r="G18" s="71"/>
      <c r="H18" s="71"/>
      <c r="I18" s="57"/>
      <c r="J18" s="57">
        <f t="shared" si="3"/>
        <v>3</v>
      </c>
      <c r="K18" s="51"/>
      <c r="L18" s="51"/>
      <c r="M18" s="51"/>
      <c r="N18" s="51"/>
      <c r="O18" s="51"/>
      <c r="P18" s="51"/>
      <c r="Q18" s="51"/>
      <c r="R18" s="51"/>
      <c r="S18" s="51"/>
      <c r="T18" s="51"/>
      <c r="U18" s="51"/>
      <c r="V18" s="51"/>
      <c r="W18" s="62"/>
      <c r="X18" s="62"/>
      <c r="Y18" s="51"/>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c r="BM18" s="51"/>
      <c r="BN18" s="51"/>
    </row>
    <row r="19" spans="1:66" s="14" customFormat="1" ht="30" customHeight="1" thickBot="1" x14ac:dyDescent="0.3">
      <c r="A19" s="41"/>
      <c r="B19" s="41"/>
      <c r="C19" s="41"/>
      <c r="D19" s="68" t="s">
        <v>158</v>
      </c>
      <c r="E19" s="69"/>
      <c r="F19" s="70"/>
      <c r="G19" s="71"/>
      <c r="H19" s="71"/>
      <c r="I19" s="57"/>
      <c r="J19" s="57">
        <f t="shared" si="3"/>
        <v>4</v>
      </c>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c r="BM19" s="51"/>
      <c r="BN19" s="51"/>
    </row>
    <row r="20" spans="1:66" s="14" customFormat="1" ht="30" customHeight="1" thickBot="1" x14ac:dyDescent="0.3">
      <c r="A20" s="41"/>
      <c r="B20" s="41"/>
      <c r="C20" s="41"/>
      <c r="D20" s="68" t="s">
        <v>159</v>
      </c>
      <c r="E20" s="69"/>
      <c r="F20" s="70"/>
      <c r="G20" s="71"/>
      <c r="H20" s="71"/>
      <c r="I20" s="57"/>
      <c r="J20" s="57" t="str">
        <f t="shared" si="3"/>
        <v/>
      </c>
      <c r="K20" s="51"/>
      <c r="L20" s="51"/>
      <c r="M20" s="51"/>
      <c r="N20" s="51"/>
      <c r="O20" s="51"/>
      <c r="P20" s="51"/>
      <c r="Q20" s="51"/>
      <c r="R20" s="51"/>
      <c r="S20" s="51"/>
      <c r="T20" s="51"/>
      <c r="U20" s="51"/>
      <c r="V20" s="51"/>
      <c r="W20" s="51"/>
      <c r="X20" s="51"/>
      <c r="Y20" s="51"/>
      <c r="Z20" s="51"/>
      <c r="AA20" s="62"/>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c r="BM20" s="51"/>
      <c r="BN20" s="51"/>
    </row>
    <row r="21" spans="1:66" s="14" customFormat="1" ht="30" customHeight="1" thickBot="1" x14ac:dyDescent="0.3">
      <c r="A21" s="41"/>
      <c r="B21" s="41"/>
      <c r="C21" s="41"/>
      <c r="D21" s="68" t="s">
        <v>160</v>
      </c>
      <c r="E21" s="69"/>
      <c r="F21" s="70"/>
      <c r="G21" s="71"/>
      <c r="H21" s="71"/>
      <c r="I21" s="57"/>
      <c r="J21" s="57">
        <f t="shared" si="3"/>
        <v>6</v>
      </c>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c r="BM21" s="51"/>
      <c r="BN21" s="51"/>
    </row>
    <row r="22" spans="1:66" s="14" customFormat="1" ht="30" customHeight="1" thickBot="1" x14ac:dyDescent="0.3">
      <c r="A22" s="41" t="s">
        <v>163</v>
      </c>
      <c r="B22" s="41"/>
      <c r="C22" s="41"/>
      <c r="D22" s="72" t="s">
        <v>164</v>
      </c>
      <c r="E22" s="73"/>
      <c r="F22" s="74"/>
      <c r="G22" s="75"/>
      <c r="H22" s="76"/>
      <c r="I22" s="57"/>
      <c r="J22" s="57">
        <f t="shared" si="3"/>
        <v>5</v>
      </c>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c r="BM22" s="51"/>
      <c r="BN22" s="51"/>
    </row>
    <row r="23" spans="1:66" s="14" customFormat="1" ht="30" customHeight="1" thickBot="1" x14ac:dyDescent="0.3">
      <c r="A23" s="41"/>
      <c r="B23" s="41"/>
      <c r="C23" s="41"/>
      <c r="D23" s="77" t="s">
        <v>155</v>
      </c>
      <c r="E23" s="78"/>
      <c r="F23" s="79"/>
      <c r="G23" s="80"/>
      <c r="H23" s="80"/>
      <c r="I23" s="57"/>
      <c r="J23" s="57">
        <f t="shared" si="3"/>
        <v>6</v>
      </c>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c r="BM23" s="51"/>
      <c r="BN23" s="51"/>
    </row>
    <row r="24" spans="1:66" s="14" customFormat="1" ht="30" customHeight="1" thickBot="1" x14ac:dyDescent="0.3">
      <c r="A24" s="41"/>
      <c r="B24" s="41"/>
      <c r="C24" s="41"/>
      <c r="D24" s="77" t="s">
        <v>157</v>
      </c>
      <c r="E24" s="78"/>
      <c r="F24" s="79"/>
      <c r="G24" s="80"/>
      <c r="H24" s="80"/>
      <c r="I24" s="57"/>
      <c r="J24" s="57">
        <f t="shared" si="3"/>
        <v>5</v>
      </c>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c r="BM24" s="51"/>
      <c r="BN24" s="51"/>
    </row>
    <row r="25" spans="1:66" s="14" customFormat="1" ht="30" customHeight="1" thickBot="1" x14ac:dyDescent="0.3">
      <c r="A25" s="41"/>
      <c r="B25" s="41"/>
      <c r="C25" s="41"/>
      <c r="D25" s="77" t="s">
        <v>158</v>
      </c>
      <c r="E25" s="78"/>
      <c r="F25" s="79"/>
      <c r="G25" s="80"/>
      <c r="H25" s="80"/>
      <c r="I25" s="57"/>
      <c r="J25" s="57">
        <f t="shared" si="3"/>
        <v>5</v>
      </c>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c r="BM25" s="51"/>
      <c r="BN25" s="51"/>
    </row>
    <row r="26" spans="1:66" s="14" customFormat="1" ht="30" customHeight="1" thickBot="1" x14ac:dyDescent="0.3">
      <c r="A26" s="41"/>
      <c r="B26" s="41"/>
      <c r="C26" s="41"/>
      <c r="D26" s="77" t="s">
        <v>159</v>
      </c>
      <c r="E26" s="78"/>
      <c r="F26" s="79"/>
      <c r="G26" s="80"/>
      <c r="H26" s="80"/>
      <c r="I26" s="57"/>
      <c r="J26" s="57" t="str">
        <f t="shared" si="3"/>
        <v/>
      </c>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c r="AY26" s="51"/>
      <c r="AZ26" s="51"/>
      <c r="BA26" s="51"/>
      <c r="BB26" s="51"/>
      <c r="BC26" s="51"/>
      <c r="BD26" s="51"/>
      <c r="BE26" s="51"/>
      <c r="BF26" s="51"/>
      <c r="BG26" s="51"/>
      <c r="BH26" s="51"/>
      <c r="BI26" s="51"/>
      <c r="BJ26" s="51"/>
      <c r="BK26" s="51"/>
      <c r="BL26" s="51"/>
      <c r="BM26" s="51"/>
      <c r="BN26" s="51"/>
    </row>
    <row r="27" spans="1:66" s="14" customFormat="1" ht="30" customHeight="1" thickBot="1" x14ac:dyDescent="0.3">
      <c r="A27" s="41"/>
      <c r="B27" s="41"/>
      <c r="C27" s="41"/>
      <c r="D27" s="77" t="s">
        <v>160</v>
      </c>
      <c r="E27" s="78"/>
      <c r="F27" s="79"/>
      <c r="G27" s="80"/>
      <c r="H27" s="80"/>
      <c r="I27" s="57"/>
      <c r="J27" s="57" t="e">
        <f t="shared" si="3"/>
        <v>#VALUE!</v>
      </c>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c r="BM27" s="51"/>
      <c r="BN27" s="51"/>
    </row>
    <row r="28" spans="1:66" s="14" customFormat="1" ht="30" customHeight="1" thickBot="1" x14ac:dyDescent="0.3">
      <c r="A28" s="41" t="s">
        <v>163</v>
      </c>
      <c r="B28" s="41"/>
      <c r="C28" s="41"/>
      <c r="D28" s="81" t="s">
        <v>165</v>
      </c>
      <c r="E28" s="82"/>
      <c r="F28" s="83"/>
      <c r="G28" s="84"/>
      <c r="H28" s="85"/>
      <c r="I28" s="57"/>
      <c r="J28" s="57" t="e">
        <f t="shared" si="3"/>
        <v>#VALUE!</v>
      </c>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c r="BM28" s="51"/>
      <c r="BN28" s="51"/>
    </row>
    <row r="29" spans="1:66" s="14" customFormat="1" ht="30" customHeight="1" thickBot="1" x14ac:dyDescent="0.3">
      <c r="A29" s="41"/>
      <c r="B29" s="41"/>
      <c r="C29" s="41"/>
      <c r="D29" s="86" t="s">
        <v>155</v>
      </c>
      <c r="E29" s="87"/>
      <c r="F29" s="88"/>
      <c r="G29" s="89" t="s">
        <v>166</v>
      </c>
      <c r="H29" s="89" t="s">
        <v>166</v>
      </c>
      <c r="I29" s="57"/>
      <c r="J29" s="57" t="e">
        <f t="shared" si="3"/>
        <v>#VALUE!</v>
      </c>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c r="BM29" s="51"/>
      <c r="BN29" s="51"/>
    </row>
    <row r="30" spans="1:66" s="14" customFormat="1" ht="30" customHeight="1" thickBot="1" x14ac:dyDescent="0.3">
      <c r="A30" s="41"/>
      <c r="B30" s="41"/>
      <c r="C30" s="41"/>
      <c r="D30" s="86" t="s">
        <v>157</v>
      </c>
      <c r="E30" s="87"/>
      <c r="F30" s="88"/>
      <c r="G30" s="89" t="s">
        <v>166</v>
      </c>
      <c r="H30" s="89" t="s">
        <v>166</v>
      </c>
      <c r="I30" s="57"/>
      <c r="J30" s="57" t="e">
        <f t="shared" si="3"/>
        <v>#VALUE!</v>
      </c>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c r="BM30" s="51"/>
      <c r="BN30" s="51"/>
    </row>
    <row r="31" spans="1:66" s="14" customFormat="1" ht="30" customHeight="1" thickBot="1" x14ac:dyDescent="0.3">
      <c r="A31" s="41"/>
      <c r="B31" s="41"/>
      <c r="C31" s="41"/>
      <c r="D31" s="86" t="s">
        <v>158</v>
      </c>
      <c r="E31" s="87"/>
      <c r="F31" s="88"/>
      <c r="G31" s="89" t="s">
        <v>166</v>
      </c>
      <c r="H31" s="89" t="s">
        <v>166</v>
      </c>
      <c r="I31" s="57"/>
      <c r="J31" s="57" t="e">
        <f t="shared" si="3"/>
        <v>#VALUE!</v>
      </c>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c r="BM31" s="51"/>
      <c r="BN31" s="51"/>
    </row>
    <row r="32" spans="1:66" s="14" customFormat="1" ht="30" customHeight="1" thickBot="1" x14ac:dyDescent="0.3">
      <c r="A32" s="41"/>
      <c r="B32" s="41"/>
      <c r="C32" s="41"/>
      <c r="D32" s="86" t="s">
        <v>159</v>
      </c>
      <c r="E32" s="87"/>
      <c r="F32" s="88"/>
      <c r="G32" s="89" t="s">
        <v>166</v>
      </c>
      <c r="H32" s="89" t="s">
        <v>166</v>
      </c>
      <c r="I32" s="57"/>
      <c r="J32" s="57" t="str">
        <f t="shared" si="3"/>
        <v/>
      </c>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c r="AV32" s="51"/>
      <c r="AW32" s="51"/>
      <c r="AX32" s="51"/>
      <c r="AY32" s="51"/>
      <c r="AZ32" s="51"/>
      <c r="BA32" s="51"/>
      <c r="BB32" s="51"/>
      <c r="BC32" s="51"/>
      <c r="BD32" s="51"/>
      <c r="BE32" s="51"/>
      <c r="BF32" s="51"/>
      <c r="BG32" s="51"/>
      <c r="BH32" s="51"/>
      <c r="BI32" s="51"/>
      <c r="BJ32" s="51"/>
      <c r="BK32" s="51"/>
      <c r="BL32" s="51"/>
      <c r="BM32" s="51"/>
      <c r="BN32" s="51"/>
    </row>
    <row r="33" spans="1:66" s="14" customFormat="1" ht="30" customHeight="1" thickBot="1" x14ac:dyDescent="0.3">
      <c r="A33" s="41"/>
      <c r="B33" s="41"/>
      <c r="C33" s="41"/>
      <c r="D33" s="86" t="s">
        <v>160</v>
      </c>
      <c r="E33" s="87"/>
      <c r="F33" s="88"/>
      <c r="G33" s="89" t="s">
        <v>166</v>
      </c>
      <c r="H33" s="89" t="s">
        <v>166</v>
      </c>
      <c r="I33" s="57"/>
      <c r="J33" s="57" t="str">
        <f t="shared" si="3"/>
        <v/>
      </c>
      <c r="K33" s="51"/>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c r="AY33" s="51"/>
      <c r="AZ33" s="51"/>
      <c r="BA33" s="51"/>
      <c r="BB33" s="51"/>
      <c r="BC33" s="51"/>
      <c r="BD33" s="51"/>
      <c r="BE33" s="51"/>
      <c r="BF33" s="51"/>
      <c r="BG33" s="51"/>
      <c r="BH33" s="51"/>
      <c r="BI33" s="51"/>
      <c r="BJ33" s="51"/>
      <c r="BK33" s="51"/>
      <c r="BL33" s="51"/>
      <c r="BM33" s="51"/>
      <c r="BN33" s="51"/>
    </row>
    <row r="34" spans="1:66" s="14" customFormat="1" ht="30" customHeight="1" thickBot="1" x14ac:dyDescent="0.3">
      <c r="A34" s="41" t="s">
        <v>167</v>
      </c>
      <c r="B34" s="41"/>
      <c r="C34" s="41"/>
      <c r="D34" s="90"/>
      <c r="E34" s="91"/>
      <c r="F34" s="92"/>
      <c r="G34" s="93"/>
      <c r="H34" s="93"/>
      <c r="I34" s="57"/>
      <c r="J34" s="57" t="str">
        <f t="shared" si="3"/>
        <v/>
      </c>
      <c r="K34" s="51"/>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c r="AV34" s="51"/>
      <c r="AW34" s="51"/>
      <c r="AX34" s="51"/>
      <c r="AY34" s="51"/>
      <c r="AZ34" s="51"/>
      <c r="BA34" s="51"/>
      <c r="BB34" s="51"/>
      <c r="BC34" s="51"/>
      <c r="BD34" s="51"/>
      <c r="BE34" s="51"/>
      <c r="BF34" s="51"/>
      <c r="BG34" s="51"/>
      <c r="BH34" s="51"/>
      <c r="BI34" s="51"/>
      <c r="BJ34" s="51"/>
      <c r="BK34" s="51"/>
      <c r="BL34" s="51"/>
      <c r="BM34" s="51"/>
      <c r="BN34" s="51"/>
    </row>
    <row r="35" spans="1:66" s="14" customFormat="1" ht="30" customHeight="1" thickBot="1" x14ac:dyDescent="0.3">
      <c r="A35" s="36" t="s">
        <v>168</v>
      </c>
      <c r="B35" s="36"/>
      <c r="C35" s="36"/>
      <c r="D35" s="94" t="s">
        <v>169</v>
      </c>
      <c r="E35" s="95"/>
      <c r="F35" s="96"/>
      <c r="G35" s="97"/>
      <c r="H35" s="98"/>
      <c r="I35" s="99"/>
      <c r="J35" s="99" t="str">
        <f t="shared" si="3"/>
        <v/>
      </c>
      <c r="K35" s="100"/>
      <c r="L35" s="100"/>
      <c r="M35" s="100"/>
      <c r="N35" s="100"/>
      <c r="O35" s="100"/>
      <c r="P35" s="100"/>
      <c r="Q35" s="100"/>
      <c r="R35" s="100"/>
      <c r="S35" s="100"/>
      <c r="T35" s="100"/>
      <c r="U35" s="100"/>
      <c r="V35" s="100"/>
      <c r="W35" s="100"/>
      <c r="X35" s="100"/>
      <c r="Y35" s="100"/>
      <c r="Z35" s="100"/>
      <c r="AA35" s="100"/>
      <c r="AB35" s="100"/>
      <c r="AC35" s="100"/>
      <c r="AD35" s="100"/>
      <c r="AE35" s="100"/>
      <c r="AF35" s="100"/>
      <c r="AG35" s="100"/>
      <c r="AH35" s="100"/>
      <c r="AI35" s="100"/>
      <c r="AJ35" s="100"/>
      <c r="AK35" s="100"/>
      <c r="AL35" s="100"/>
      <c r="AM35" s="100"/>
      <c r="AN35" s="100"/>
      <c r="AO35" s="100"/>
      <c r="AP35" s="100"/>
      <c r="AQ35" s="100"/>
      <c r="AR35" s="100"/>
      <c r="AS35" s="100"/>
      <c r="AT35" s="100"/>
      <c r="AU35" s="100"/>
      <c r="AV35" s="100"/>
      <c r="AW35" s="100"/>
      <c r="AX35" s="100"/>
      <c r="AY35" s="100"/>
      <c r="AZ35" s="100"/>
      <c r="BA35" s="100"/>
      <c r="BB35" s="100"/>
      <c r="BC35" s="100"/>
      <c r="BD35" s="100"/>
      <c r="BE35" s="100"/>
      <c r="BF35" s="100"/>
      <c r="BG35" s="100"/>
      <c r="BH35" s="100"/>
      <c r="BI35" s="100"/>
      <c r="BJ35" s="100"/>
      <c r="BK35" s="100"/>
      <c r="BL35" s="100"/>
      <c r="BM35" s="100"/>
      <c r="BN35" s="100"/>
    </row>
    <row r="36" spans="1:66" ht="30" customHeight="1" x14ac:dyDescent="0.25">
      <c r="I36" s="101"/>
    </row>
    <row r="37" spans="1:66" ht="30" customHeight="1" x14ac:dyDescent="0.25">
      <c r="E37" s="102"/>
      <c r="H37" s="103"/>
    </row>
    <row r="38" spans="1:66" ht="30" customHeight="1" x14ac:dyDescent="0.25">
      <c r="E38" s="104"/>
    </row>
  </sheetData>
  <mergeCells count="11">
    <mergeCell ref="BH6:BN6"/>
    <mergeCell ref="E5:F5"/>
    <mergeCell ref="G5:H5"/>
    <mergeCell ref="E6:F6"/>
    <mergeCell ref="K6:Q6"/>
    <mergeCell ref="R6:X6"/>
    <mergeCell ref="Y6:AE6"/>
    <mergeCell ref="AF6:AL6"/>
    <mergeCell ref="AM6:AS6"/>
    <mergeCell ref="AT6:AZ6"/>
    <mergeCell ref="BA6:BG6"/>
  </mergeCells>
  <conditionalFormatting sqref="F9:F35">
    <cfRule type="dataBar" priority="1">
      <dataBar>
        <cfvo type="num" val="0"/>
        <cfvo type="num" val="1"/>
        <color theme="0" tint="-0.249977111117893"/>
      </dataBar>
      <extLst>
        <ext xmlns:x14="http://schemas.microsoft.com/office/spreadsheetml/2009/9/main" uri="{B025F937-C7B1-47D3-B67F-A62EFF666E3E}">
          <x14:id>{4003E10C-E673-4E41-B882-DC6B3C1EA88B}</x14:id>
        </ext>
      </extLst>
    </cfRule>
  </conditionalFormatting>
  <conditionalFormatting sqref="K7:BN35">
    <cfRule type="expression" dxfId="2" priority="4">
      <formula>AND(TODAY()&gt;=K$7,TODAY()&lt;L$7)</formula>
    </cfRule>
  </conditionalFormatting>
  <conditionalFormatting sqref="K9:BN35">
    <cfRule type="expression" dxfId="1" priority="2">
      <formula>AND(início_da_tarefa&lt;=K$7,ROUNDDOWN((término_da_tarefa-início_da_tarefa+1)*progresso_da_tarefa,0)+início_da_tarefa-1&gt;=K$7)</formula>
    </cfRule>
    <cfRule type="expression" dxfId="0" priority="3" stopIfTrue="1">
      <formula>AND(término_da_tarefa&gt;=K$7,início_da_tarefa&lt;L$7)</formula>
    </cfRule>
  </conditionalFormatting>
  <dataValidations count="1">
    <dataValidation type="whole" operator="greaterThanOrEqual" allowBlank="1" showInputMessage="1" promptTitle="Semana de exibição" prompt="Alterar esse número rola a exibição do Gráfico de Gantt." sqref="G6" xr:uid="{00000000-0002-0000-0500-000000000000}">
      <formula1>1</formula1>
    </dataValidation>
  </dataValidations>
  <pageMargins left="0.511811024" right="0.511811024" top="0.78740157499999996" bottom="0.78740157499999996" header="0.31496062000000002" footer="0.31496062000000002"/>
  <drawing r:id="rId1"/>
  <extLst>
    <ext xmlns:x14="http://schemas.microsoft.com/office/spreadsheetml/2009/9/main" uri="{78C0D931-6437-407d-A8EE-F0AAD7539E65}">
      <x14:conditionalFormattings>
        <x14:conditionalFormatting xmlns:xm="http://schemas.microsoft.com/office/excel/2006/main">
          <x14:cfRule type="dataBar" id="{4003E10C-E673-4E41-B882-DC6B3C1EA88B}">
            <x14:dataBar minLength="0" maxLength="100" negativeBarColorSameAsPositive="1" axisPosition="none">
              <x14:cfvo type="num">
                <xm:f>0</xm:f>
              </x14:cfvo>
              <x14:cfvo type="num">
                <xm:f>1</xm:f>
              </x14:cfvo>
            </x14:dataBar>
          </x14:cfRule>
          <xm:sqref>F9:F35</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E55"/>
  <sheetViews>
    <sheetView workbookViewId="0">
      <selection activeCell="A3" sqref="A3:E55"/>
      <pivotSelection pane="bottomRight" showHeader="1" activeRow="2" previousRow="2" click="1" r:id="rId1">
        <pivotArea type="all" dataOnly="0" outline="0" fieldPosition="0"/>
      </pivotSelection>
    </sheetView>
  </sheetViews>
  <sheetFormatPr defaultRowHeight="12.75" x14ac:dyDescent="0.2"/>
  <cols>
    <col min="1" max="1" width="14" bestFit="1" customWidth="1"/>
    <col min="2" max="2" width="25.5703125" customWidth="1"/>
    <col min="3" max="3" width="55" customWidth="1"/>
    <col min="4" max="4" width="6.140625" bestFit="1" customWidth="1"/>
    <col min="5" max="5" width="7" bestFit="1" customWidth="1"/>
    <col min="6" max="49" width="105.42578125" bestFit="1" customWidth="1"/>
    <col min="50" max="50" width="10" bestFit="1" customWidth="1"/>
  </cols>
  <sheetData>
    <row r="3" spans="1:5" x14ac:dyDescent="0.2">
      <c r="A3" s="30" t="s">
        <v>137</v>
      </c>
      <c r="B3" s="29"/>
      <c r="C3" s="29"/>
      <c r="D3" s="29"/>
      <c r="E3" s="32"/>
    </row>
    <row r="4" spans="1:5" x14ac:dyDescent="0.2">
      <c r="A4" s="30" t="s">
        <v>2</v>
      </c>
      <c r="B4" s="30" t="s">
        <v>4</v>
      </c>
      <c r="C4" s="30" t="s">
        <v>51</v>
      </c>
      <c r="D4" s="30" t="s">
        <v>0</v>
      </c>
      <c r="E4" s="32" t="s">
        <v>134</v>
      </c>
    </row>
    <row r="5" spans="1:5" x14ac:dyDescent="0.2">
      <c r="A5" s="28" t="s">
        <v>11</v>
      </c>
      <c r="B5" s="28" t="s">
        <v>56</v>
      </c>
      <c r="C5" s="28" t="s">
        <v>53</v>
      </c>
      <c r="D5" s="28" t="s">
        <v>11</v>
      </c>
      <c r="E5" s="32">
        <v>1000</v>
      </c>
    </row>
    <row r="6" spans="1:5" x14ac:dyDescent="0.2">
      <c r="A6" s="34"/>
      <c r="B6" s="34"/>
      <c r="C6" s="28" t="s">
        <v>52</v>
      </c>
      <c r="D6" s="28" t="s">
        <v>15</v>
      </c>
      <c r="E6" s="32">
        <v>1000</v>
      </c>
    </row>
    <row r="7" spans="1:5" x14ac:dyDescent="0.2">
      <c r="A7" s="34"/>
      <c r="B7" s="34"/>
      <c r="C7" s="28" t="s">
        <v>54</v>
      </c>
      <c r="D7" s="28" t="s">
        <v>14</v>
      </c>
      <c r="E7" s="32">
        <v>2000</v>
      </c>
    </row>
    <row r="8" spans="1:5" x14ac:dyDescent="0.2">
      <c r="A8" s="28" t="s">
        <v>15</v>
      </c>
      <c r="B8" s="28" t="s">
        <v>67</v>
      </c>
      <c r="C8" s="28" t="s">
        <v>132</v>
      </c>
      <c r="D8" s="28" t="s">
        <v>16</v>
      </c>
      <c r="E8" s="32">
        <v>2000</v>
      </c>
    </row>
    <row r="9" spans="1:5" x14ac:dyDescent="0.2">
      <c r="A9" s="34"/>
      <c r="B9" s="28" t="s">
        <v>56</v>
      </c>
      <c r="C9" s="28" t="s">
        <v>129</v>
      </c>
      <c r="D9" s="28" t="s">
        <v>8</v>
      </c>
      <c r="E9" s="32">
        <v>700</v>
      </c>
    </row>
    <row r="10" spans="1:5" x14ac:dyDescent="0.2">
      <c r="A10" s="34"/>
      <c r="B10" s="28" t="s">
        <v>135</v>
      </c>
      <c r="C10" s="28" t="s">
        <v>57</v>
      </c>
      <c r="D10" s="28">
        <v>2</v>
      </c>
      <c r="E10" s="32"/>
    </row>
    <row r="11" spans="1:5" x14ac:dyDescent="0.2">
      <c r="A11" s="28" t="s">
        <v>118</v>
      </c>
      <c r="B11" s="28" t="s">
        <v>127</v>
      </c>
      <c r="C11" s="28" t="s">
        <v>116</v>
      </c>
      <c r="D11" s="28" t="s">
        <v>118</v>
      </c>
      <c r="E11" s="32">
        <v>4000</v>
      </c>
    </row>
    <row r="12" spans="1:5" x14ac:dyDescent="0.2">
      <c r="A12" s="28" t="s">
        <v>119</v>
      </c>
      <c r="B12" s="28" t="s">
        <v>126</v>
      </c>
      <c r="C12" s="28" t="s">
        <v>117</v>
      </c>
      <c r="D12" s="28" t="s">
        <v>119</v>
      </c>
      <c r="E12" s="32">
        <v>1000</v>
      </c>
    </row>
    <row r="13" spans="1:5" x14ac:dyDescent="0.2">
      <c r="A13" s="28" t="s">
        <v>120</v>
      </c>
      <c r="B13" s="28" t="s">
        <v>126</v>
      </c>
      <c r="C13" s="28" t="s">
        <v>121</v>
      </c>
      <c r="D13" s="28" t="s">
        <v>120</v>
      </c>
      <c r="E13" s="32">
        <v>1000</v>
      </c>
    </row>
    <row r="14" spans="1:5" x14ac:dyDescent="0.2">
      <c r="A14" s="28" t="s">
        <v>7</v>
      </c>
      <c r="B14" s="28" t="s">
        <v>56</v>
      </c>
      <c r="C14" s="28" t="s">
        <v>58</v>
      </c>
      <c r="D14" s="28" t="s">
        <v>7</v>
      </c>
      <c r="E14" s="32">
        <v>2000</v>
      </c>
    </row>
    <row r="15" spans="1:5" x14ac:dyDescent="0.2">
      <c r="A15" s="28" t="s">
        <v>8</v>
      </c>
      <c r="B15" s="28" t="s">
        <v>56</v>
      </c>
      <c r="C15" s="28" t="s">
        <v>63</v>
      </c>
      <c r="D15" s="28" t="s">
        <v>9</v>
      </c>
      <c r="E15" s="32">
        <v>400</v>
      </c>
    </row>
    <row r="16" spans="1:5" x14ac:dyDescent="0.2">
      <c r="A16" s="34"/>
      <c r="B16" s="34"/>
      <c r="C16" s="28" t="s">
        <v>59</v>
      </c>
      <c r="D16" s="28" t="s">
        <v>43</v>
      </c>
      <c r="E16" s="32">
        <v>500</v>
      </c>
    </row>
    <row r="17" spans="1:5" x14ac:dyDescent="0.2">
      <c r="A17" s="34"/>
      <c r="B17" s="34"/>
      <c r="C17" s="28" t="s">
        <v>62</v>
      </c>
      <c r="D17" s="28" t="s">
        <v>66</v>
      </c>
      <c r="E17" s="32">
        <v>200</v>
      </c>
    </row>
    <row r="18" spans="1:5" x14ac:dyDescent="0.2">
      <c r="A18" s="34"/>
      <c r="B18" s="34"/>
      <c r="C18" s="28" t="s">
        <v>61</v>
      </c>
      <c r="D18" s="28" t="s">
        <v>65</v>
      </c>
      <c r="E18" s="32">
        <v>800</v>
      </c>
    </row>
    <row r="19" spans="1:5" x14ac:dyDescent="0.2">
      <c r="A19" s="34"/>
      <c r="B19" s="34"/>
      <c r="C19" s="28" t="s">
        <v>60</v>
      </c>
      <c r="D19" s="28" t="s">
        <v>44</v>
      </c>
      <c r="E19" s="32">
        <v>1000</v>
      </c>
    </row>
    <row r="20" spans="1:5" x14ac:dyDescent="0.2">
      <c r="A20" s="28" t="s">
        <v>9</v>
      </c>
      <c r="B20" s="28" t="s">
        <v>135</v>
      </c>
      <c r="C20" s="28" t="s">
        <v>64</v>
      </c>
      <c r="D20" s="28">
        <v>3</v>
      </c>
      <c r="E20" s="32"/>
    </row>
    <row r="21" spans="1:5" x14ac:dyDescent="0.2">
      <c r="A21" s="28" t="s">
        <v>16</v>
      </c>
      <c r="B21" s="28" t="s">
        <v>67</v>
      </c>
      <c r="C21" s="28" t="s">
        <v>69</v>
      </c>
      <c r="D21" s="28" t="s">
        <v>130</v>
      </c>
      <c r="E21" s="32">
        <v>500</v>
      </c>
    </row>
    <row r="22" spans="1:5" x14ac:dyDescent="0.2">
      <c r="A22" s="28" t="s">
        <v>130</v>
      </c>
      <c r="B22" s="28" t="s">
        <v>67</v>
      </c>
      <c r="C22" s="28" t="s">
        <v>70</v>
      </c>
      <c r="D22" s="28" t="s">
        <v>71</v>
      </c>
      <c r="E22" s="32">
        <v>500</v>
      </c>
    </row>
    <row r="23" spans="1:5" x14ac:dyDescent="0.2">
      <c r="A23" s="28" t="s">
        <v>71</v>
      </c>
      <c r="B23" s="28" t="s">
        <v>67</v>
      </c>
      <c r="C23" s="28" t="s">
        <v>133</v>
      </c>
      <c r="D23" s="28" t="s">
        <v>17</v>
      </c>
      <c r="E23" s="32">
        <v>1000</v>
      </c>
    </row>
    <row r="24" spans="1:5" x14ac:dyDescent="0.2">
      <c r="A24" s="28" t="s">
        <v>17</v>
      </c>
      <c r="B24" s="28" t="s">
        <v>67</v>
      </c>
      <c r="C24" s="28" t="s">
        <v>68</v>
      </c>
      <c r="D24" s="28" t="s">
        <v>131</v>
      </c>
      <c r="E24" s="32">
        <v>500</v>
      </c>
    </row>
    <row r="25" spans="1:5" x14ac:dyDescent="0.2">
      <c r="A25" s="28" t="s">
        <v>131</v>
      </c>
      <c r="B25" s="28" t="s">
        <v>135</v>
      </c>
      <c r="C25" s="28" t="s">
        <v>72</v>
      </c>
      <c r="D25" s="28">
        <v>4</v>
      </c>
      <c r="E25" s="32"/>
    </row>
    <row r="26" spans="1:5" x14ac:dyDescent="0.2">
      <c r="A26" s="28" t="s">
        <v>139</v>
      </c>
      <c r="B26" s="28" t="s">
        <v>67</v>
      </c>
      <c r="C26" s="28" t="s">
        <v>138</v>
      </c>
      <c r="D26" s="28" t="s">
        <v>139</v>
      </c>
      <c r="E26" s="32">
        <v>700</v>
      </c>
    </row>
    <row r="27" spans="1:5" x14ac:dyDescent="0.2">
      <c r="A27" s="28" t="s">
        <v>10</v>
      </c>
      <c r="B27" s="28" t="s">
        <v>74</v>
      </c>
      <c r="C27" s="28" t="s">
        <v>73</v>
      </c>
      <c r="D27" s="28" t="s">
        <v>10</v>
      </c>
      <c r="E27" s="32">
        <v>500</v>
      </c>
    </row>
    <row r="28" spans="1:5" x14ac:dyDescent="0.2">
      <c r="A28" s="28" t="s">
        <v>76</v>
      </c>
      <c r="B28" s="28" t="s">
        <v>74</v>
      </c>
      <c r="C28" s="28" t="s">
        <v>75</v>
      </c>
      <c r="D28" s="28" t="s">
        <v>76</v>
      </c>
      <c r="E28" s="32">
        <v>5000</v>
      </c>
    </row>
    <row r="29" spans="1:5" x14ac:dyDescent="0.2">
      <c r="A29" s="28" t="s">
        <v>34</v>
      </c>
      <c r="B29" s="28" t="s">
        <v>74</v>
      </c>
      <c r="C29" s="28" t="s">
        <v>77</v>
      </c>
      <c r="D29" s="28" t="s">
        <v>34</v>
      </c>
      <c r="E29" s="32">
        <v>700</v>
      </c>
    </row>
    <row r="30" spans="1:5" x14ac:dyDescent="0.2">
      <c r="A30" s="28" t="s">
        <v>46</v>
      </c>
      <c r="B30" s="28" t="s">
        <v>74</v>
      </c>
      <c r="C30" s="28" t="s">
        <v>80</v>
      </c>
      <c r="D30" s="28" t="s">
        <v>46</v>
      </c>
      <c r="E30" s="32">
        <v>500</v>
      </c>
    </row>
    <row r="31" spans="1:5" x14ac:dyDescent="0.2">
      <c r="A31" s="28" t="s">
        <v>78</v>
      </c>
      <c r="B31" s="28" t="s">
        <v>74</v>
      </c>
      <c r="C31" s="28" t="s">
        <v>81</v>
      </c>
      <c r="D31" s="28" t="s">
        <v>78</v>
      </c>
      <c r="E31" s="32">
        <v>300</v>
      </c>
    </row>
    <row r="32" spans="1:5" x14ac:dyDescent="0.2">
      <c r="A32" s="28" t="s">
        <v>79</v>
      </c>
      <c r="B32" s="28" t="s">
        <v>74</v>
      </c>
      <c r="C32" s="28" t="s">
        <v>82</v>
      </c>
      <c r="D32" s="28" t="s">
        <v>79</v>
      </c>
      <c r="E32" s="32">
        <v>1000</v>
      </c>
    </row>
    <row r="33" spans="1:5" x14ac:dyDescent="0.2">
      <c r="A33" s="28" t="s">
        <v>18</v>
      </c>
      <c r="B33" s="28" t="s">
        <v>122</v>
      </c>
      <c r="C33" s="28" t="s">
        <v>83</v>
      </c>
      <c r="D33" s="28" t="s">
        <v>18</v>
      </c>
      <c r="E33" s="32">
        <v>3000</v>
      </c>
    </row>
    <row r="34" spans="1:5" x14ac:dyDescent="0.2">
      <c r="A34" s="28" t="s">
        <v>19</v>
      </c>
      <c r="B34" s="28" t="s">
        <v>122</v>
      </c>
      <c r="C34" s="28" t="s">
        <v>84</v>
      </c>
      <c r="D34" s="28" t="s">
        <v>19</v>
      </c>
      <c r="E34" s="32">
        <v>1000</v>
      </c>
    </row>
    <row r="35" spans="1:5" x14ac:dyDescent="0.2">
      <c r="A35" s="28" t="s">
        <v>20</v>
      </c>
      <c r="B35" s="28" t="s">
        <v>122</v>
      </c>
      <c r="C35" s="28" t="s">
        <v>85</v>
      </c>
      <c r="D35" s="28" t="s">
        <v>20</v>
      </c>
      <c r="E35" s="32">
        <v>1000</v>
      </c>
    </row>
    <row r="36" spans="1:5" x14ac:dyDescent="0.2">
      <c r="A36" s="28" t="s">
        <v>90</v>
      </c>
      <c r="B36" s="28" t="s">
        <v>123</v>
      </c>
      <c r="C36" s="28" t="s">
        <v>87</v>
      </c>
      <c r="D36" s="28" t="s">
        <v>90</v>
      </c>
      <c r="E36" s="32">
        <v>30000</v>
      </c>
    </row>
    <row r="37" spans="1:5" x14ac:dyDescent="0.2">
      <c r="A37" s="28" t="s">
        <v>91</v>
      </c>
      <c r="B37" s="28" t="s">
        <v>124</v>
      </c>
      <c r="C37" s="28" t="s">
        <v>88</v>
      </c>
      <c r="D37" s="28" t="s">
        <v>91</v>
      </c>
      <c r="E37" s="32">
        <v>700</v>
      </c>
    </row>
    <row r="38" spans="1:5" x14ac:dyDescent="0.2">
      <c r="A38" s="28" t="s">
        <v>92</v>
      </c>
      <c r="B38" s="28" t="s">
        <v>122</v>
      </c>
      <c r="C38" s="28" t="s">
        <v>89</v>
      </c>
      <c r="D38" s="28" t="s">
        <v>92</v>
      </c>
      <c r="E38" s="32">
        <v>500</v>
      </c>
    </row>
    <row r="39" spans="1:5" x14ac:dyDescent="0.2">
      <c r="A39" s="28" t="s">
        <v>97</v>
      </c>
      <c r="B39" s="28" t="s">
        <v>125</v>
      </c>
      <c r="C39" s="28" t="s">
        <v>94</v>
      </c>
      <c r="D39" s="28" t="s">
        <v>97</v>
      </c>
      <c r="E39" s="32">
        <v>15000</v>
      </c>
    </row>
    <row r="40" spans="1:5" x14ac:dyDescent="0.2">
      <c r="A40" s="28" t="s">
        <v>98</v>
      </c>
      <c r="B40" s="28" t="s">
        <v>126</v>
      </c>
      <c r="C40" s="28" t="s">
        <v>95</v>
      </c>
      <c r="D40" s="28" t="s">
        <v>98</v>
      </c>
      <c r="E40" s="32">
        <v>10000</v>
      </c>
    </row>
    <row r="41" spans="1:5" x14ac:dyDescent="0.2">
      <c r="A41" s="28" t="s">
        <v>100</v>
      </c>
      <c r="B41" s="28" t="s">
        <v>126</v>
      </c>
      <c r="C41" s="28" t="s">
        <v>96</v>
      </c>
      <c r="D41" s="28" t="s">
        <v>100</v>
      </c>
      <c r="E41" s="32">
        <v>10000</v>
      </c>
    </row>
    <row r="42" spans="1:5" x14ac:dyDescent="0.2">
      <c r="A42" s="28" t="s">
        <v>105</v>
      </c>
      <c r="B42" s="28" t="s">
        <v>128</v>
      </c>
      <c r="C42" s="28" t="s">
        <v>102</v>
      </c>
      <c r="D42" s="28" t="s">
        <v>105</v>
      </c>
      <c r="E42" s="32">
        <v>5000</v>
      </c>
    </row>
    <row r="43" spans="1:5" x14ac:dyDescent="0.2">
      <c r="A43" s="28" t="s">
        <v>106</v>
      </c>
      <c r="B43" s="28" t="s">
        <v>128</v>
      </c>
      <c r="C43" s="28" t="s">
        <v>103</v>
      </c>
      <c r="D43" s="28" t="s">
        <v>106</v>
      </c>
      <c r="E43" s="32">
        <v>4000</v>
      </c>
    </row>
    <row r="44" spans="1:5" x14ac:dyDescent="0.2">
      <c r="A44" s="28" t="s">
        <v>107</v>
      </c>
      <c r="B44" s="28" t="s">
        <v>128</v>
      </c>
      <c r="C44" s="28" t="s">
        <v>104</v>
      </c>
      <c r="D44" s="28" t="s">
        <v>107</v>
      </c>
      <c r="E44" s="32">
        <v>1000</v>
      </c>
    </row>
    <row r="45" spans="1:5" x14ac:dyDescent="0.2">
      <c r="A45" s="28" t="s">
        <v>112</v>
      </c>
      <c r="B45" s="28" t="s">
        <v>128</v>
      </c>
      <c r="C45" s="28" t="s">
        <v>109</v>
      </c>
      <c r="D45" s="28" t="s">
        <v>112</v>
      </c>
      <c r="E45" s="32">
        <v>10000</v>
      </c>
    </row>
    <row r="46" spans="1:5" x14ac:dyDescent="0.2">
      <c r="A46" s="28" t="s">
        <v>113</v>
      </c>
      <c r="B46" s="28" t="s">
        <v>128</v>
      </c>
      <c r="C46" s="28" t="s">
        <v>110</v>
      </c>
      <c r="D46" s="28" t="s">
        <v>113</v>
      </c>
      <c r="E46" s="32">
        <v>20000</v>
      </c>
    </row>
    <row r="47" spans="1:5" x14ac:dyDescent="0.2">
      <c r="A47" s="28" t="s">
        <v>114</v>
      </c>
      <c r="B47" s="28" t="s">
        <v>128</v>
      </c>
      <c r="C47" s="28" t="s">
        <v>111</v>
      </c>
      <c r="D47" s="28" t="s">
        <v>114</v>
      </c>
      <c r="E47" s="32">
        <v>10000</v>
      </c>
    </row>
    <row r="48" spans="1:5" x14ac:dyDescent="0.2">
      <c r="A48" s="28" t="s">
        <v>135</v>
      </c>
      <c r="B48" s="28" t="s">
        <v>135</v>
      </c>
      <c r="C48" s="28" t="s">
        <v>115</v>
      </c>
      <c r="D48" s="28">
        <v>10</v>
      </c>
      <c r="E48" s="32"/>
    </row>
    <row r="49" spans="1:5" x14ac:dyDescent="0.2">
      <c r="A49" s="34"/>
      <c r="B49" s="34"/>
      <c r="C49" s="28" t="s">
        <v>55</v>
      </c>
      <c r="D49" s="28">
        <v>1</v>
      </c>
      <c r="E49" s="32"/>
    </row>
    <row r="50" spans="1:5" x14ac:dyDescent="0.2">
      <c r="A50" s="34"/>
      <c r="B50" s="34"/>
      <c r="C50" s="28" t="s">
        <v>62</v>
      </c>
      <c r="D50" s="28">
        <v>5</v>
      </c>
      <c r="E50" s="32"/>
    </row>
    <row r="51" spans="1:5" x14ac:dyDescent="0.2">
      <c r="A51" s="34"/>
      <c r="B51" s="34"/>
      <c r="C51" s="28" t="s">
        <v>93</v>
      </c>
      <c r="D51" s="28">
        <v>7</v>
      </c>
      <c r="E51" s="32"/>
    </row>
    <row r="52" spans="1:5" x14ac:dyDescent="0.2">
      <c r="A52" s="34"/>
      <c r="B52" s="34"/>
      <c r="C52" s="28" t="s">
        <v>108</v>
      </c>
      <c r="D52" s="28">
        <v>9</v>
      </c>
      <c r="E52" s="32"/>
    </row>
    <row r="53" spans="1:5" x14ac:dyDescent="0.2">
      <c r="A53" s="34"/>
      <c r="B53" s="34"/>
      <c r="C53" s="28" t="s">
        <v>101</v>
      </c>
      <c r="D53" s="28">
        <v>8</v>
      </c>
      <c r="E53" s="32"/>
    </row>
    <row r="54" spans="1:5" x14ac:dyDescent="0.2">
      <c r="A54" s="34"/>
      <c r="B54" s="34"/>
      <c r="C54" s="28" t="s">
        <v>86</v>
      </c>
      <c r="D54" s="28">
        <v>6</v>
      </c>
      <c r="E54" s="32"/>
    </row>
    <row r="55" spans="1:5" x14ac:dyDescent="0.2">
      <c r="A55" s="31" t="s">
        <v>136</v>
      </c>
      <c r="B55" s="35"/>
      <c r="C55" s="35"/>
      <c r="D55" s="35"/>
      <c r="E55" s="33">
        <v>150000</v>
      </c>
    </row>
  </sheetData>
  <pageMargins left="0.511811024" right="0.511811024" top="0.78740157499999996" bottom="0.78740157499999996" header="0.31496062000000002" footer="0.3149606200000000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pageSetUpPr fitToPage="1"/>
  </sheetPr>
  <dimension ref="B2:AA18"/>
  <sheetViews>
    <sheetView showGridLines="0" topLeftCell="B1" zoomScale="70" zoomScaleNormal="70" workbookViewId="0">
      <pane ySplit="5" topLeftCell="A6" activePane="bottomLeft" state="frozenSplit"/>
      <selection activeCell="B1" sqref="B1"/>
      <selection pane="bottomLeft" activeCell="H21" sqref="H21"/>
    </sheetView>
  </sheetViews>
  <sheetFormatPr defaultRowHeight="12.75" x14ac:dyDescent="0.2"/>
  <cols>
    <col min="1" max="1" width="3.42578125" customWidth="1"/>
    <col min="2" max="2" width="13" style="1" customWidth="1"/>
    <col min="3" max="3" width="78.42578125" style="3" customWidth="1"/>
    <col min="4" max="4" width="7.85546875" style="1" bestFit="1" customWidth="1"/>
    <col min="5" max="5" width="9.7109375" style="1" bestFit="1" customWidth="1"/>
    <col min="6" max="6" width="8.28515625" style="1" bestFit="1" customWidth="1"/>
    <col min="7" max="7" width="10.5703125" style="1" bestFit="1" customWidth="1"/>
    <col min="8" max="8" width="10.140625" style="1" bestFit="1" customWidth="1"/>
    <col min="9" max="9" width="7.7109375" style="1" bestFit="1" customWidth="1"/>
    <col min="10" max="11" width="3.7109375" style="1" customWidth="1"/>
    <col min="12" max="27" width="3.7109375" customWidth="1"/>
  </cols>
  <sheetData>
    <row r="2" spans="2:27" ht="16.5" x14ac:dyDescent="0.25">
      <c r="B2" s="4" t="s">
        <v>36</v>
      </c>
    </row>
    <row r="4" spans="2:27" ht="13.5" thickBot="1" x14ac:dyDescent="0.25"/>
    <row r="5" spans="2:27" s="14" customFormat="1" ht="16.5" thickBot="1" x14ac:dyDescent="0.25">
      <c r="B5" s="17" t="s">
        <v>0</v>
      </c>
      <c r="C5" s="18" t="s">
        <v>1</v>
      </c>
      <c r="D5" s="361"/>
      <c r="E5" s="361"/>
      <c r="F5" s="361"/>
      <c r="G5" s="361"/>
      <c r="H5" s="361"/>
      <c r="I5" s="361"/>
      <c r="J5" s="361"/>
      <c r="K5" s="361"/>
      <c r="L5" s="361"/>
      <c r="M5" s="361"/>
      <c r="N5" s="361"/>
      <c r="O5" s="361"/>
      <c r="P5" s="361"/>
      <c r="Q5" s="361"/>
      <c r="R5" s="361"/>
      <c r="S5" s="361"/>
      <c r="T5" s="361"/>
      <c r="U5" s="361"/>
      <c r="V5" s="361"/>
      <c r="W5" s="361"/>
      <c r="X5" s="362"/>
      <c r="Y5" s="19"/>
      <c r="Z5" s="19"/>
      <c r="AA5" s="20"/>
    </row>
    <row r="6" spans="2:27" ht="13.5" thickBot="1" x14ac:dyDescent="0.25">
      <c r="B6" s="21"/>
      <c r="C6"/>
      <c r="D6" s="15">
        <v>1</v>
      </c>
      <c r="E6" s="2">
        <v>2</v>
      </c>
      <c r="F6" s="2">
        <v>3</v>
      </c>
      <c r="G6" s="16">
        <v>4</v>
      </c>
      <c r="H6" s="15">
        <v>5</v>
      </c>
      <c r="I6" s="2">
        <v>6</v>
      </c>
      <c r="J6" s="2">
        <v>7</v>
      </c>
      <c r="K6" s="16">
        <v>8</v>
      </c>
      <c r="L6" s="15">
        <v>9</v>
      </c>
      <c r="M6" s="2">
        <v>10</v>
      </c>
      <c r="N6" s="2">
        <v>11</v>
      </c>
      <c r="O6" s="16">
        <v>12</v>
      </c>
      <c r="P6" s="15">
        <v>13</v>
      </c>
      <c r="Q6" s="2">
        <v>14</v>
      </c>
      <c r="R6" s="2">
        <v>15</v>
      </c>
      <c r="S6" s="16">
        <v>16</v>
      </c>
      <c r="T6" s="15">
        <v>17</v>
      </c>
      <c r="U6" s="2">
        <v>18</v>
      </c>
      <c r="V6" s="2">
        <v>19</v>
      </c>
      <c r="W6" s="16">
        <v>20</v>
      </c>
      <c r="X6" s="15">
        <v>21</v>
      </c>
      <c r="Y6" s="2">
        <v>22</v>
      </c>
      <c r="Z6" s="2">
        <v>23</v>
      </c>
      <c r="AA6" s="16">
        <v>24</v>
      </c>
    </row>
    <row r="7" spans="2:27" ht="12.75" customHeight="1" x14ac:dyDescent="0.2">
      <c r="B7" s="21"/>
      <c r="C7"/>
      <c r="D7" s="363" t="s">
        <v>37</v>
      </c>
      <c r="E7" s="364"/>
      <c r="F7" s="364"/>
      <c r="G7" s="365"/>
      <c r="H7" s="366" t="s">
        <v>38</v>
      </c>
      <c r="I7" s="364"/>
      <c r="J7" s="364"/>
      <c r="K7" s="365"/>
      <c r="L7" s="366" t="s">
        <v>39</v>
      </c>
      <c r="M7" s="364"/>
      <c r="N7" s="364"/>
      <c r="O7" s="365"/>
      <c r="P7" s="366" t="s">
        <v>40</v>
      </c>
      <c r="Q7" s="364"/>
      <c r="R7" s="364"/>
      <c r="S7" s="365"/>
      <c r="T7" s="366" t="s">
        <v>41</v>
      </c>
      <c r="U7" s="364"/>
      <c r="V7" s="364"/>
      <c r="W7" s="365"/>
      <c r="X7" s="366" t="s">
        <v>42</v>
      </c>
      <c r="Y7" s="364"/>
      <c r="Z7" s="364"/>
      <c r="AA7" s="365"/>
    </row>
    <row r="8" spans="2:27" s="10" customFormat="1" ht="15.75" x14ac:dyDescent="0.2">
      <c r="B8" s="11" t="s">
        <v>11</v>
      </c>
      <c r="C8" s="9" t="s">
        <v>12</v>
      </c>
      <c r="D8" s="358">
        <v>30000</v>
      </c>
      <c r="E8" s="359"/>
      <c r="F8" s="359"/>
      <c r="G8" s="360"/>
      <c r="H8" s="358"/>
      <c r="I8" s="359"/>
      <c r="J8" s="359"/>
      <c r="K8" s="360"/>
      <c r="L8" s="358"/>
      <c r="M8" s="359"/>
      <c r="N8" s="359"/>
      <c r="O8" s="360"/>
      <c r="P8" s="358"/>
      <c r="Q8" s="359"/>
      <c r="R8" s="359"/>
      <c r="S8" s="360"/>
      <c r="T8" s="358"/>
      <c r="U8" s="359"/>
      <c r="V8" s="359"/>
      <c r="W8" s="360"/>
      <c r="X8" s="358"/>
      <c r="Y8" s="359"/>
      <c r="Z8" s="359"/>
      <c r="AA8" s="360"/>
    </row>
    <row r="9" spans="2:27" s="10" customFormat="1" ht="15.75" x14ac:dyDescent="0.2">
      <c r="B9" s="11" t="s">
        <v>14</v>
      </c>
      <c r="C9" s="9" t="s">
        <v>21</v>
      </c>
      <c r="D9" s="358"/>
      <c r="E9" s="359"/>
      <c r="F9" s="359"/>
      <c r="G9" s="360"/>
      <c r="H9" s="358">
        <v>5000</v>
      </c>
      <c r="I9" s="359"/>
      <c r="J9" s="359"/>
      <c r="K9" s="360"/>
      <c r="L9" s="358">
        <v>5000</v>
      </c>
      <c r="M9" s="359"/>
      <c r="N9" s="359"/>
      <c r="O9" s="360"/>
      <c r="P9" s="358">
        <v>5000</v>
      </c>
      <c r="Q9" s="359"/>
      <c r="R9" s="359"/>
      <c r="S9" s="360"/>
      <c r="T9" s="358">
        <v>5000</v>
      </c>
      <c r="U9" s="359"/>
      <c r="V9" s="359"/>
      <c r="W9" s="360"/>
      <c r="X9" s="358"/>
      <c r="Y9" s="359"/>
      <c r="Z9" s="359"/>
      <c r="AA9" s="360"/>
    </row>
    <row r="10" spans="2:27" s="10" customFormat="1" ht="16.5" thickBot="1" x14ac:dyDescent="0.25">
      <c r="B10" s="11" t="s">
        <v>15</v>
      </c>
      <c r="C10" s="9" t="s">
        <v>22</v>
      </c>
      <c r="D10" s="358"/>
      <c r="E10" s="359"/>
      <c r="F10" s="359"/>
      <c r="G10" s="360"/>
      <c r="H10" s="358"/>
      <c r="I10" s="359"/>
      <c r="J10" s="359"/>
      <c r="K10" s="360"/>
      <c r="L10" s="358"/>
      <c r="M10" s="359"/>
      <c r="N10" s="359"/>
      <c r="O10" s="360"/>
      <c r="P10" s="358"/>
      <c r="Q10" s="359"/>
      <c r="R10" s="359"/>
      <c r="S10" s="360"/>
      <c r="T10" s="358"/>
      <c r="U10" s="359"/>
      <c r="V10" s="359"/>
      <c r="W10" s="360"/>
      <c r="X10" s="358">
        <v>10000</v>
      </c>
      <c r="Y10" s="359"/>
      <c r="Z10" s="359"/>
      <c r="AA10" s="360"/>
    </row>
    <row r="11" spans="2:27" ht="15.75" x14ac:dyDescent="0.2">
      <c r="B11" s="12">
        <v>2</v>
      </c>
      <c r="C11" s="13" t="s">
        <v>26</v>
      </c>
      <c r="D11" s="358"/>
      <c r="E11" s="359"/>
      <c r="F11" s="359"/>
      <c r="G11" s="360"/>
      <c r="H11" s="358"/>
      <c r="I11" s="359"/>
      <c r="J11" s="359"/>
      <c r="K11" s="360"/>
      <c r="L11" s="358">
        <v>20000</v>
      </c>
      <c r="M11" s="359"/>
      <c r="N11" s="359"/>
      <c r="O11" s="360"/>
      <c r="P11" s="358">
        <v>40000</v>
      </c>
      <c r="Q11" s="359"/>
      <c r="R11" s="359"/>
      <c r="S11" s="360"/>
      <c r="T11" s="358">
        <v>10000</v>
      </c>
      <c r="U11" s="359"/>
      <c r="V11" s="359"/>
      <c r="W11" s="360"/>
      <c r="X11" s="358">
        <v>10000</v>
      </c>
      <c r="Y11" s="359"/>
      <c r="Z11" s="359"/>
      <c r="AA11" s="360"/>
    </row>
    <row r="12" spans="2:27" ht="15.75" x14ac:dyDescent="0.2">
      <c r="B12" s="6" t="s">
        <v>16</v>
      </c>
      <c r="C12" s="5" t="s">
        <v>32</v>
      </c>
      <c r="D12" s="358"/>
      <c r="E12" s="359"/>
      <c r="F12" s="359"/>
      <c r="G12" s="360"/>
      <c r="H12" s="367">
        <v>10000</v>
      </c>
      <c r="I12" s="359"/>
      <c r="J12" s="359"/>
      <c r="K12" s="360"/>
      <c r="L12" s="358">
        <v>25000</v>
      </c>
      <c r="M12" s="359"/>
      <c r="N12" s="359"/>
      <c r="O12" s="360"/>
      <c r="P12" s="358">
        <v>25000</v>
      </c>
      <c r="Q12" s="359"/>
      <c r="R12" s="359"/>
      <c r="S12" s="360"/>
      <c r="T12" s="358">
        <v>25000</v>
      </c>
      <c r="U12" s="359"/>
      <c r="V12" s="359"/>
      <c r="W12" s="360"/>
      <c r="X12" s="358">
        <v>5000</v>
      </c>
      <c r="Y12" s="359"/>
      <c r="Z12" s="359"/>
      <c r="AA12" s="360"/>
    </row>
    <row r="13" spans="2:27" s="8" customFormat="1" ht="16.5" thickBot="1" x14ac:dyDescent="0.25">
      <c r="B13" s="6" t="s">
        <v>17</v>
      </c>
      <c r="C13" s="5" t="s">
        <v>33</v>
      </c>
      <c r="D13" s="358"/>
      <c r="E13" s="359"/>
      <c r="F13" s="359"/>
      <c r="G13" s="360"/>
      <c r="H13" s="358"/>
      <c r="I13" s="359"/>
      <c r="J13" s="359"/>
      <c r="K13" s="360"/>
      <c r="L13" s="358">
        <v>15000</v>
      </c>
      <c r="M13" s="359"/>
      <c r="N13" s="359"/>
      <c r="O13" s="360"/>
      <c r="P13" s="358">
        <v>15000</v>
      </c>
      <c r="Q13" s="359"/>
      <c r="R13" s="359"/>
      <c r="S13" s="360"/>
      <c r="T13" s="358">
        <v>20000</v>
      </c>
      <c r="U13" s="359"/>
      <c r="V13" s="359"/>
      <c r="W13" s="360"/>
      <c r="X13" s="358">
        <v>10000</v>
      </c>
      <c r="Y13" s="359"/>
      <c r="Z13" s="359"/>
      <c r="AA13" s="360"/>
    </row>
    <row r="14" spans="2:27" s="7" customFormat="1" ht="15.75" x14ac:dyDescent="0.2">
      <c r="B14" s="12">
        <v>4</v>
      </c>
      <c r="C14" s="13" t="s">
        <v>27</v>
      </c>
      <c r="D14" s="358"/>
      <c r="E14" s="359"/>
      <c r="F14" s="359"/>
      <c r="G14" s="360"/>
      <c r="H14" s="358"/>
      <c r="I14" s="359"/>
      <c r="J14" s="359"/>
      <c r="K14" s="360"/>
      <c r="L14" s="358"/>
      <c r="M14" s="359"/>
      <c r="N14" s="359"/>
      <c r="O14" s="360"/>
      <c r="P14" s="358"/>
      <c r="Q14" s="359"/>
      <c r="R14" s="359"/>
      <c r="S14" s="360"/>
      <c r="T14" s="358"/>
      <c r="U14" s="359"/>
      <c r="V14" s="359"/>
      <c r="W14" s="360"/>
      <c r="X14" s="358">
        <v>7000</v>
      </c>
      <c r="Y14" s="359"/>
      <c r="Z14" s="359"/>
      <c r="AA14" s="360"/>
    </row>
    <row r="15" spans="2:27" s="7" customFormat="1" ht="15.75" x14ac:dyDescent="0.2">
      <c r="B15" s="6" t="s">
        <v>18</v>
      </c>
      <c r="C15" s="5" t="s">
        <v>23</v>
      </c>
      <c r="D15" s="358"/>
      <c r="E15" s="359"/>
      <c r="F15" s="359"/>
      <c r="G15" s="360"/>
      <c r="H15" s="358"/>
      <c r="I15" s="359"/>
      <c r="J15" s="359"/>
      <c r="K15" s="360"/>
      <c r="L15" s="358"/>
      <c r="M15" s="359"/>
      <c r="N15" s="359"/>
      <c r="O15" s="360"/>
      <c r="P15" s="358"/>
      <c r="Q15" s="359"/>
      <c r="R15" s="359"/>
      <c r="S15" s="360"/>
      <c r="T15" s="358">
        <v>4000</v>
      </c>
      <c r="U15" s="359"/>
      <c r="V15" s="359"/>
      <c r="W15" s="360"/>
      <c r="X15" s="358">
        <v>4000</v>
      </c>
      <c r="Y15" s="359"/>
      <c r="Z15" s="359"/>
      <c r="AA15" s="360"/>
    </row>
    <row r="16" spans="2:27" ht="15.75" x14ac:dyDescent="0.2">
      <c r="B16" s="6" t="s">
        <v>19</v>
      </c>
      <c r="C16" s="5" t="s">
        <v>24</v>
      </c>
      <c r="D16" s="358"/>
      <c r="E16" s="359"/>
      <c r="F16" s="359"/>
      <c r="G16" s="360"/>
      <c r="H16" s="358"/>
      <c r="I16" s="359"/>
      <c r="J16" s="359"/>
      <c r="K16" s="360"/>
      <c r="L16" s="358"/>
      <c r="M16" s="359"/>
      <c r="N16" s="359"/>
      <c r="O16" s="360"/>
      <c r="P16" s="358"/>
      <c r="Q16" s="359"/>
      <c r="R16" s="359"/>
      <c r="S16" s="360"/>
      <c r="T16" s="358">
        <v>2500</v>
      </c>
      <c r="U16" s="359"/>
      <c r="V16" s="359"/>
      <c r="W16" s="360"/>
      <c r="X16" s="358">
        <v>2500</v>
      </c>
      <c r="Y16" s="359"/>
      <c r="Z16" s="359"/>
      <c r="AA16" s="360"/>
    </row>
    <row r="17" spans="2:27" s="8" customFormat="1" ht="15.75" x14ac:dyDescent="0.2">
      <c r="B17" s="6" t="s">
        <v>20</v>
      </c>
      <c r="C17" s="5" t="s">
        <v>25</v>
      </c>
      <c r="D17" s="358"/>
      <c r="E17" s="359"/>
      <c r="F17" s="359"/>
      <c r="G17" s="360"/>
      <c r="H17" s="358"/>
      <c r="I17" s="359"/>
      <c r="J17" s="359"/>
      <c r="K17" s="360"/>
      <c r="L17" s="358"/>
      <c r="M17" s="359"/>
      <c r="N17" s="359"/>
      <c r="O17" s="360"/>
      <c r="P17" s="358"/>
      <c r="Q17" s="359"/>
      <c r="R17" s="359"/>
      <c r="S17" s="360"/>
      <c r="T17" s="358"/>
      <c r="U17" s="359"/>
      <c r="V17" s="359"/>
      <c r="W17" s="360"/>
      <c r="X17" s="358">
        <v>0</v>
      </c>
      <c r="Y17" s="359"/>
      <c r="Z17" s="359"/>
      <c r="AA17" s="360"/>
    </row>
    <row r="18" spans="2:27" s="7" customFormat="1" ht="15.75" x14ac:dyDescent="0.2">
      <c r="B18" s="6" t="s">
        <v>29</v>
      </c>
      <c r="C18" s="5" t="s">
        <v>30</v>
      </c>
      <c r="D18" s="358"/>
      <c r="E18" s="359"/>
      <c r="F18" s="359"/>
      <c r="G18" s="360"/>
      <c r="H18" s="358">
        <f>20000*35%</f>
        <v>7000</v>
      </c>
      <c r="I18" s="359"/>
      <c r="J18" s="359"/>
      <c r="K18" s="360"/>
      <c r="L18" s="358">
        <f>13000/4</f>
        <v>3250</v>
      </c>
      <c r="M18" s="359"/>
      <c r="N18" s="359"/>
      <c r="O18" s="360"/>
      <c r="P18" s="358">
        <f>13000/4</f>
        <v>3250</v>
      </c>
      <c r="Q18" s="359"/>
      <c r="R18" s="359"/>
      <c r="S18" s="360"/>
      <c r="T18" s="358">
        <f>13000/4</f>
        <v>3250</v>
      </c>
      <c r="U18" s="359"/>
      <c r="V18" s="359"/>
      <c r="W18" s="360"/>
      <c r="X18" s="358">
        <f>13000/4</f>
        <v>3250</v>
      </c>
      <c r="Y18" s="359"/>
      <c r="Z18" s="359"/>
      <c r="AA18" s="360"/>
    </row>
  </sheetData>
  <mergeCells count="73">
    <mergeCell ref="T18:W18"/>
    <mergeCell ref="X18:AA18"/>
    <mergeCell ref="D18:G18"/>
    <mergeCell ref="H18:K18"/>
    <mergeCell ref="L18:O18"/>
    <mergeCell ref="P18:S18"/>
    <mergeCell ref="X16:AA16"/>
    <mergeCell ref="D17:G17"/>
    <mergeCell ref="H17:K17"/>
    <mergeCell ref="L17:O17"/>
    <mergeCell ref="P17:S17"/>
    <mergeCell ref="T17:W17"/>
    <mergeCell ref="X17:AA17"/>
    <mergeCell ref="D16:G16"/>
    <mergeCell ref="H16:K16"/>
    <mergeCell ref="L16:O16"/>
    <mergeCell ref="P16:S16"/>
    <mergeCell ref="T16:W16"/>
    <mergeCell ref="X15:AA15"/>
    <mergeCell ref="D14:G14"/>
    <mergeCell ref="H14:K14"/>
    <mergeCell ref="L14:O14"/>
    <mergeCell ref="P14:S14"/>
    <mergeCell ref="T14:W14"/>
    <mergeCell ref="D15:G15"/>
    <mergeCell ref="H15:K15"/>
    <mergeCell ref="L15:O15"/>
    <mergeCell ref="P15:S15"/>
    <mergeCell ref="T15:W15"/>
    <mergeCell ref="D13:G13"/>
    <mergeCell ref="H13:K13"/>
    <mergeCell ref="L13:O13"/>
    <mergeCell ref="P13:S13"/>
    <mergeCell ref="X14:AA14"/>
    <mergeCell ref="T13:W13"/>
    <mergeCell ref="X13:AA13"/>
    <mergeCell ref="P11:S11"/>
    <mergeCell ref="P10:S10"/>
    <mergeCell ref="X9:AA9"/>
    <mergeCell ref="D12:G12"/>
    <mergeCell ref="H12:K12"/>
    <mergeCell ref="L12:O12"/>
    <mergeCell ref="P12:S12"/>
    <mergeCell ref="T12:W12"/>
    <mergeCell ref="T10:W10"/>
    <mergeCell ref="X10:AA10"/>
    <mergeCell ref="X12:AA12"/>
    <mergeCell ref="T11:W11"/>
    <mergeCell ref="X11:AA11"/>
    <mergeCell ref="D11:G11"/>
    <mergeCell ref="H11:K11"/>
    <mergeCell ref="L11:O11"/>
    <mergeCell ref="L10:O10"/>
    <mergeCell ref="L9:O9"/>
    <mergeCell ref="T8:W8"/>
    <mergeCell ref="X8:AA8"/>
    <mergeCell ref="L8:O8"/>
    <mergeCell ref="D10:G10"/>
    <mergeCell ref="H10:K10"/>
    <mergeCell ref="P9:S9"/>
    <mergeCell ref="T9:W9"/>
    <mergeCell ref="D5:X5"/>
    <mergeCell ref="D7:G7"/>
    <mergeCell ref="H7:K7"/>
    <mergeCell ref="L7:O7"/>
    <mergeCell ref="P7:S7"/>
    <mergeCell ref="T7:W7"/>
    <mergeCell ref="X7:AA7"/>
    <mergeCell ref="D9:G9"/>
    <mergeCell ref="H9:K9"/>
    <mergeCell ref="D8:G8"/>
    <mergeCell ref="H8:K8"/>
    <mergeCell ref="P8:S8"/>
  </mergeCells>
  <phoneticPr fontId="11" type="noConversion"/>
  <printOptions horizontalCentered="1"/>
  <pageMargins left="0.39370078740157483" right="0.19685039370078741" top="0.39370078740157483" bottom="0.19685039370078741" header="0.51181102362204722" footer="0.51181102362204722"/>
  <pageSetup paperSize="9" scale="61"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14</vt:i4>
      </vt:variant>
      <vt:variant>
        <vt:lpstr>Intervalos Nomeados</vt:lpstr>
      </vt:variant>
      <vt:variant>
        <vt:i4>3</vt:i4>
      </vt:variant>
    </vt:vector>
  </HeadingPairs>
  <TitlesOfParts>
    <vt:vector size="17" baseType="lpstr">
      <vt:lpstr>Project Charter</vt:lpstr>
      <vt:lpstr>WBS_Detalhado (ordem etapas)</vt:lpstr>
      <vt:lpstr>WBS-MACRO-ATIVIDADE</vt:lpstr>
      <vt:lpstr>WBS_Detalhado (ordem depend)</vt:lpstr>
      <vt:lpstr>DIAGRAMA DE SETA</vt:lpstr>
      <vt:lpstr>analise_stake</vt:lpstr>
      <vt:lpstr>plano_de_comunicação</vt:lpstr>
      <vt:lpstr>planejamento_rh</vt:lpstr>
      <vt:lpstr>fluxo_projeto</vt:lpstr>
      <vt:lpstr>mapa_competencias</vt:lpstr>
      <vt:lpstr>matriz_responsabilidade</vt:lpstr>
      <vt:lpstr>Gráfico de Gantt</vt:lpstr>
      <vt:lpstr>PV_dependência</vt:lpstr>
      <vt:lpstr>Cronograma_de_Custos (2)</vt:lpstr>
      <vt:lpstr>'Cronograma_de_Custos (2)'!Area_de_impressao</vt:lpstr>
      <vt:lpstr>Início_do_projeto</vt:lpstr>
      <vt:lpstr>Semana_de_exibição</vt:lpstr>
    </vt:vector>
  </TitlesOfParts>
  <Company>FECAP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dmello</dc:creator>
  <cp:lastModifiedBy>24026578</cp:lastModifiedBy>
  <cp:lastPrinted>2024-08-29T21:33:37Z</cp:lastPrinted>
  <dcterms:created xsi:type="dcterms:W3CDTF">2009-09-10T00:53:44Z</dcterms:created>
  <dcterms:modified xsi:type="dcterms:W3CDTF">2025-11-11T00:32:16Z</dcterms:modified>
</cp:coreProperties>
</file>